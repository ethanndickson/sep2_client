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8125" codeName="{8C4F1C90-05EB-6A55-5F09-09C24B55AC0B}"/>
  <workbookPr filterPrivacy="1" codeName="ThisWorkbook" autoCompressPictures="0"/>
  <bookViews>
    <workbookView xWindow="260" yWindow="160" windowWidth="30500" windowHeight="25740"/>
  </bookViews>
  <sheets>
    <sheet name="Generate" sheetId="9" r:id="rId1"/>
    <sheet name="Controls" sheetId="1" r:id="rId2"/>
    <sheet name="WADL Output" sheetId="2" r:id="rId3"/>
    <sheet name="Doc Output" sheetId="4" r:id="rId4"/>
    <sheet name="Var" sheetId="8" r:id="rId5"/>
    <sheet name="MODE" sheetId="6" r:id="rId6"/>
  </sheets>
  <definedNames>
    <definedName name="_xlnm._FilterDatabase" localSheetId="1" hidden="1">Controls!$A$1:$Z$123</definedName>
    <definedName name="wadl_doc">'Doc Output'!$A$1:$H$126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8" i="1" l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X100" i="1"/>
  <c r="Y100" i="1"/>
  <c r="Z100" i="1"/>
  <c r="X101" i="1"/>
  <c r="Y101" i="1"/>
  <c r="Z101" i="1"/>
  <c r="X102" i="1"/>
  <c r="Y102" i="1"/>
  <c r="Z102" i="1"/>
  <c r="X103" i="1"/>
  <c r="Y103" i="1"/>
  <c r="Z103" i="1"/>
  <c r="X104" i="1"/>
  <c r="Y104" i="1"/>
  <c r="Z104" i="1"/>
  <c r="X105" i="1"/>
  <c r="Y105" i="1"/>
  <c r="Z105" i="1"/>
  <c r="X106" i="1"/>
  <c r="Y106" i="1"/>
  <c r="Z106" i="1"/>
  <c r="X107" i="1"/>
  <c r="Y107" i="1"/>
  <c r="Z107" i="1"/>
  <c r="X108" i="1"/>
  <c r="Y108" i="1"/>
  <c r="Z108" i="1"/>
  <c r="X109" i="1"/>
  <c r="Y109" i="1"/>
  <c r="Z109" i="1"/>
  <c r="X110" i="1"/>
  <c r="Y110" i="1"/>
  <c r="Z110" i="1"/>
  <c r="X111" i="1"/>
  <c r="Y111" i="1"/>
  <c r="Z111" i="1"/>
  <c r="X112" i="1"/>
  <c r="Y112" i="1"/>
  <c r="Z112" i="1"/>
  <c r="X113" i="1"/>
  <c r="Y113" i="1"/>
  <c r="Z113" i="1"/>
  <c r="X114" i="1"/>
  <c r="Y114" i="1"/>
  <c r="Z114" i="1"/>
  <c r="X115" i="1"/>
  <c r="Y115" i="1"/>
  <c r="Z115" i="1"/>
  <c r="X116" i="1"/>
  <c r="Y116" i="1"/>
  <c r="Z116" i="1"/>
  <c r="X117" i="1"/>
  <c r="Y117" i="1"/>
  <c r="Z117" i="1"/>
  <c r="X118" i="1"/>
  <c r="Y118" i="1"/>
  <c r="Z118" i="1"/>
  <c r="X119" i="1"/>
  <c r="Y119" i="1"/>
  <c r="Z119" i="1"/>
  <c r="X120" i="1"/>
  <c r="Y120" i="1"/>
  <c r="Z120" i="1"/>
  <c r="X121" i="1"/>
  <c r="Y121" i="1"/>
  <c r="Z121" i="1"/>
  <c r="X122" i="1"/>
  <c r="Y122" i="1"/>
  <c r="Z122" i="1"/>
  <c r="X123" i="1"/>
  <c r="Y123" i="1"/>
  <c r="Z123" i="1"/>
  <c r="X124" i="1"/>
  <c r="Y124" i="1"/>
  <c r="Z124" i="1"/>
  <c r="X125" i="1"/>
  <c r="Y125" i="1"/>
  <c r="Z125" i="1"/>
  <c r="X126" i="1"/>
  <c r="Y126" i="1"/>
  <c r="Z126" i="1"/>
  <c r="X127" i="1"/>
  <c r="Y127" i="1"/>
  <c r="Z127" i="1"/>
  <c r="C4" i="1"/>
  <c r="C5" i="1"/>
  <c r="C8" i="1"/>
  <c r="A8" i="2"/>
  <c r="I8" i="2"/>
  <c r="B8" i="2"/>
  <c r="C8" i="2"/>
  <c r="D8" i="2"/>
  <c r="E8" i="2"/>
  <c r="F8" i="2"/>
  <c r="G8" i="2"/>
  <c r="C9" i="1"/>
  <c r="A9" i="2"/>
  <c r="I9" i="2"/>
  <c r="B9" i="2"/>
  <c r="C9" i="2"/>
  <c r="D9" i="2"/>
  <c r="E9" i="2"/>
  <c r="F9" i="2"/>
  <c r="G9" i="2"/>
  <c r="C10" i="1"/>
  <c r="A10" i="2"/>
  <c r="I10" i="2"/>
  <c r="B10" i="2"/>
  <c r="C10" i="2"/>
  <c r="D10" i="2"/>
  <c r="E10" i="2"/>
  <c r="F10" i="2"/>
  <c r="G10" i="2"/>
  <c r="C11" i="1"/>
  <c r="A11" i="2"/>
  <c r="I11" i="2"/>
  <c r="B11" i="2"/>
  <c r="C11" i="2"/>
  <c r="D11" i="2"/>
  <c r="E11" i="2"/>
  <c r="F11" i="2"/>
  <c r="G11" i="2"/>
  <c r="C12" i="1"/>
  <c r="A12" i="2"/>
  <c r="I12" i="2"/>
  <c r="B12" i="2"/>
  <c r="C12" i="2"/>
  <c r="D12" i="2"/>
  <c r="E12" i="2"/>
  <c r="F12" i="2"/>
  <c r="G12" i="2"/>
  <c r="C13" i="1"/>
  <c r="A13" i="2"/>
  <c r="I13" i="2"/>
  <c r="B13" i="2"/>
  <c r="C13" i="2"/>
  <c r="D13" i="2"/>
  <c r="E13" i="2"/>
  <c r="F13" i="2"/>
  <c r="G13" i="2"/>
  <c r="C14" i="1"/>
  <c r="A14" i="2"/>
  <c r="I14" i="2"/>
  <c r="B14" i="2"/>
  <c r="C14" i="2"/>
  <c r="D14" i="2"/>
  <c r="E14" i="2"/>
  <c r="F14" i="2"/>
  <c r="G14" i="2"/>
  <c r="C15" i="1"/>
  <c r="A15" i="2"/>
  <c r="I15" i="2"/>
  <c r="B15" i="2"/>
  <c r="C15" i="2"/>
  <c r="D15" i="2"/>
  <c r="E15" i="2"/>
  <c r="F15" i="2"/>
  <c r="G15" i="2"/>
  <c r="C16" i="1"/>
  <c r="A16" i="2"/>
  <c r="I16" i="2"/>
  <c r="B16" i="2"/>
  <c r="C16" i="2"/>
  <c r="D16" i="2"/>
  <c r="E16" i="2"/>
  <c r="F16" i="2"/>
  <c r="G16" i="2"/>
  <c r="C17" i="1"/>
  <c r="A17" i="2"/>
  <c r="I17" i="2"/>
  <c r="B17" i="2"/>
  <c r="C17" i="2"/>
  <c r="D17" i="2"/>
  <c r="E17" i="2"/>
  <c r="F17" i="2"/>
  <c r="G17" i="2"/>
  <c r="C18" i="1"/>
  <c r="A18" i="2"/>
  <c r="I18" i="2"/>
  <c r="B18" i="2"/>
  <c r="C18" i="2"/>
  <c r="D18" i="2"/>
  <c r="E18" i="2"/>
  <c r="F18" i="2"/>
  <c r="G18" i="2"/>
  <c r="C19" i="1"/>
  <c r="A19" i="2"/>
  <c r="I19" i="2"/>
  <c r="B19" i="2"/>
  <c r="C19" i="2"/>
  <c r="D19" i="2"/>
  <c r="E19" i="2"/>
  <c r="F19" i="2"/>
  <c r="G19" i="2"/>
  <c r="C20" i="1"/>
  <c r="A20" i="2"/>
  <c r="I20" i="2"/>
  <c r="B20" i="2"/>
  <c r="C20" i="2"/>
  <c r="D20" i="2"/>
  <c r="E20" i="2"/>
  <c r="F20" i="2"/>
  <c r="G20" i="2"/>
  <c r="C21" i="1"/>
  <c r="A21" i="2"/>
  <c r="I21" i="2"/>
  <c r="B21" i="2"/>
  <c r="C21" i="2"/>
  <c r="D21" i="2"/>
  <c r="E21" i="2"/>
  <c r="F21" i="2"/>
  <c r="G21" i="2"/>
  <c r="C22" i="1"/>
  <c r="A22" i="2"/>
  <c r="I22" i="2"/>
  <c r="B22" i="2"/>
  <c r="C22" i="2"/>
  <c r="D22" i="2"/>
  <c r="E22" i="2"/>
  <c r="F22" i="2"/>
  <c r="G22" i="2"/>
  <c r="C23" i="1"/>
  <c r="A23" i="2"/>
  <c r="I23" i="2"/>
  <c r="B23" i="2"/>
  <c r="C23" i="2"/>
  <c r="D23" i="2"/>
  <c r="E23" i="2"/>
  <c r="F23" i="2"/>
  <c r="G23" i="2"/>
  <c r="C24" i="1"/>
  <c r="A24" i="2"/>
  <c r="I24" i="2"/>
  <c r="B24" i="2"/>
  <c r="C24" i="2"/>
  <c r="D24" i="2"/>
  <c r="E24" i="2"/>
  <c r="F24" i="2"/>
  <c r="G24" i="2"/>
  <c r="C25" i="1"/>
  <c r="A25" i="2"/>
  <c r="I25" i="2"/>
  <c r="B25" i="2"/>
  <c r="C25" i="2"/>
  <c r="D25" i="2"/>
  <c r="E25" i="2"/>
  <c r="F25" i="2"/>
  <c r="G25" i="2"/>
  <c r="C26" i="1"/>
  <c r="A26" i="2"/>
  <c r="I26" i="2"/>
  <c r="B26" i="2"/>
  <c r="C26" i="2"/>
  <c r="D26" i="2"/>
  <c r="E26" i="2"/>
  <c r="F26" i="2"/>
  <c r="G26" i="2"/>
  <c r="C27" i="1"/>
  <c r="A27" i="2"/>
  <c r="I27" i="2"/>
  <c r="B27" i="2"/>
  <c r="C27" i="2"/>
  <c r="D27" i="2"/>
  <c r="E27" i="2"/>
  <c r="F27" i="2"/>
  <c r="G27" i="2"/>
  <c r="C28" i="1"/>
  <c r="A28" i="2"/>
  <c r="I28" i="2"/>
  <c r="B28" i="2"/>
  <c r="C28" i="2"/>
  <c r="D28" i="2"/>
  <c r="E28" i="2"/>
  <c r="F28" i="2"/>
  <c r="G28" i="2"/>
  <c r="C29" i="1"/>
  <c r="A29" i="2"/>
  <c r="I29" i="2"/>
  <c r="B29" i="2"/>
  <c r="C29" i="2"/>
  <c r="D29" i="2"/>
  <c r="E29" i="2"/>
  <c r="F29" i="2"/>
  <c r="G29" i="2"/>
  <c r="C30" i="1"/>
  <c r="A30" i="2"/>
  <c r="I30" i="2"/>
  <c r="B30" i="2"/>
  <c r="C30" i="2"/>
  <c r="D30" i="2"/>
  <c r="E30" i="2"/>
  <c r="F30" i="2"/>
  <c r="G30" i="2"/>
  <c r="C31" i="1"/>
  <c r="A31" i="2"/>
  <c r="I31" i="2"/>
  <c r="B31" i="2"/>
  <c r="C31" i="2"/>
  <c r="D31" i="2"/>
  <c r="E31" i="2"/>
  <c r="F31" i="2"/>
  <c r="G31" i="2"/>
  <c r="C32" i="1"/>
  <c r="A32" i="2"/>
  <c r="I32" i="2"/>
  <c r="B32" i="2"/>
  <c r="C32" i="2"/>
  <c r="D32" i="2"/>
  <c r="E32" i="2"/>
  <c r="F32" i="2"/>
  <c r="G32" i="2"/>
  <c r="C33" i="1"/>
  <c r="A33" i="2"/>
  <c r="I33" i="2"/>
  <c r="B33" i="2"/>
  <c r="C33" i="2"/>
  <c r="D33" i="2"/>
  <c r="E33" i="2"/>
  <c r="F33" i="2"/>
  <c r="G33" i="2"/>
  <c r="C34" i="1"/>
  <c r="A34" i="2"/>
  <c r="I34" i="2"/>
  <c r="B34" i="2"/>
  <c r="C34" i="2"/>
  <c r="D34" i="2"/>
  <c r="E34" i="2"/>
  <c r="F34" i="2"/>
  <c r="G34" i="2"/>
  <c r="C35" i="1"/>
  <c r="A35" i="2"/>
  <c r="I35" i="2"/>
  <c r="B35" i="2"/>
  <c r="C35" i="2"/>
  <c r="D35" i="2"/>
  <c r="E35" i="2"/>
  <c r="F35" i="2"/>
  <c r="G35" i="2"/>
  <c r="C36" i="1"/>
  <c r="A36" i="2"/>
  <c r="I36" i="2"/>
  <c r="B36" i="2"/>
  <c r="C36" i="2"/>
  <c r="D36" i="2"/>
  <c r="E36" i="2"/>
  <c r="F36" i="2"/>
  <c r="G36" i="2"/>
  <c r="C37" i="1"/>
  <c r="A37" i="2"/>
  <c r="I37" i="2"/>
  <c r="B37" i="2"/>
  <c r="C37" i="2"/>
  <c r="D37" i="2"/>
  <c r="E37" i="2"/>
  <c r="F37" i="2"/>
  <c r="G37" i="2"/>
  <c r="C38" i="1"/>
  <c r="A38" i="2"/>
  <c r="I38" i="2"/>
  <c r="B38" i="2"/>
  <c r="C38" i="2"/>
  <c r="D38" i="2"/>
  <c r="E38" i="2"/>
  <c r="F38" i="2"/>
  <c r="G38" i="2"/>
  <c r="C39" i="1"/>
  <c r="A39" i="2"/>
  <c r="I39" i="2"/>
  <c r="B39" i="2"/>
  <c r="C39" i="2"/>
  <c r="D39" i="2"/>
  <c r="E39" i="2"/>
  <c r="F39" i="2"/>
  <c r="G39" i="2"/>
  <c r="C40" i="1"/>
  <c r="A40" i="2"/>
  <c r="I40" i="2"/>
  <c r="B40" i="2"/>
  <c r="C40" i="2"/>
  <c r="D40" i="2"/>
  <c r="E40" i="2"/>
  <c r="F40" i="2"/>
  <c r="G40" i="2"/>
  <c r="C41" i="1"/>
  <c r="A41" i="2"/>
  <c r="I41" i="2"/>
  <c r="B41" i="2"/>
  <c r="C41" i="2"/>
  <c r="D41" i="2"/>
  <c r="E41" i="2"/>
  <c r="F41" i="2"/>
  <c r="G41" i="2"/>
  <c r="C42" i="1"/>
  <c r="A42" i="2"/>
  <c r="I42" i="2"/>
  <c r="B42" i="2"/>
  <c r="C42" i="2"/>
  <c r="D42" i="2"/>
  <c r="E42" i="2"/>
  <c r="F42" i="2"/>
  <c r="G42" i="2"/>
  <c r="C43" i="1"/>
  <c r="A43" i="2"/>
  <c r="I43" i="2"/>
  <c r="B43" i="2"/>
  <c r="C43" i="2"/>
  <c r="D43" i="2"/>
  <c r="E43" i="2"/>
  <c r="F43" i="2"/>
  <c r="G43" i="2"/>
  <c r="C44" i="1"/>
  <c r="A44" i="2"/>
  <c r="I44" i="2"/>
  <c r="B44" i="2"/>
  <c r="C44" i="2"/>
  <c r="D44" i="2"/>
  <c r="E44" i="2"/>
  <c r="F44" i="2"/>
  <c r="G44" i="2"/>
  <c r="C45" i="1"/>
  <c r="A45" i="2"/>
  <c r="I45" i="2"/>
  <c r="B45" i="2"/>
  <c r="C45" i="2"/>
  <c r="D45" i="2"/>
  <c r="E45" i="2"/>
  <c r="F45" i="2"/>
  <c r="G45" i="2"/>
  <c r="C46" i="1"/>
  <c r="A46" i="2"/>
  <c r="I46" i="2"/>
  <c r="B46" i="2"/>
  <c r="C46" i="2"/>
  <c r="D46" i="2"/>
  <c r="E46" i="2"/>
  <c r="F46" i="2"/>
  <c r="G46" i="2"/>
  <c r="C47" i="1"/>
  <c r="A47" i="2"/>
  <c r="I47" i="2"/>
  <c r="B47" i="2"/>
  <c r="C47" i="2"/>
  <c r="D47" i="2"/>
  <c r="E47" i="2"/>
  <c r="F47" i="2"/>
  <c r="G47" i="2"/>
  <c r="C48" i="1"/>
  <c r="A48" i="2"/>
  <c r="I48" i="2"/>
  <c r="B48" i="2"/>
  <c r="C48" i="2"/>
  <c r="D48" i="2"/>
  <c r="E48" i="2"/>
  <c r="F48" i="2"/>
  <c r="G48" i="2"/>
  <c r="C49" i="1"/>
  <c r="A49" i="2"/>
  <c r="I49" i="2"/>
  <c r="B49" i="2"/>
  <c r="C49" i="2"/>
  <c r="D49" i="2"/>
  <c r="E49" i="2"/>
  <c r="F49" i="2"/>
  <c r="G49" i="2"/>
  <c r="C50" i="1"/>
  <c r="A50" i="2"/>
  <c r="I50" i="2"/>
  <c r="B50" i="2"/>
  <c r="C50" i="2"/>
  <c r="D50" i="2"/>
  <c r="E50" i="2"/>
  <c r="F50" i="2"/>
  <c r="G50" i="2"/>
  <c r="C51" i="1"/>
  <c r="A51" i="2"/>
  <c r="I51" i="2"/>
  <c r="B51" i="2"/>
  <c r="C51" i="2"/>
  <c r="D51" i="2"/>
  <c r="E51" i="2"/>
  <c r="F51" i="2"/>
  <c r="G51" i="2"/>
  <c r="C52" i="1"/>
  <c r="A52" i="2"/>
  <c r="I52" i="2"/>
  <c r="B52" i="2"/>
  <c r="C52" i="2"/>
  <c r="D52" i="2"/>
  <c r="E52" i="2"/>
  <c r="F52" i="2"/>
  <c r="G52" i="2"/>
  <c r="C53" i="1"/>
  <c r="A53" i="2"/>
  <c r="I53" i="2"/>
  <c r="B53" i="2"/>
  <c r="C53" i="2"/>
  <c r="D53" i="2"/>
  <c r="E53" i="2"/>
  <c r="F53" i="2"/>
  <c r="G53" i="2"/>
  <c r="C54" i="1"/>
  <c r="A54" i="2"/>
  <c r="I54" i="2"/>
  <c r="B54" i="2"/>
  <c r="C54" i="2"/>
  <c r="D54" i="2"/>
  <c r="E54" i="2"/>
  <c r="F54" i="2"/>
  <c r="G54" i="2"/>
  <c r="C55" i="1"/>
  <c r="A55" i="2"/>
  <c r="I55" i="2"/>
  <c r="B55" i="2"/>
  <c r="C55" i="2"/>
  <c r="D55" i="2"/>
  <c r="E55" i="2"/>
  <c r="F55" i="2"/>
  <c r="G55" i="2"/>
  <c r="C56" i="1"/>
  <c r="A56" i="2"/>
  <c r="I56" i="2"/>
  <c r="B56" i="2"/>
  <c r="C56" i="2"/>
  <c r="D56" i="2"/>
  <c r="E56" i="2"/>
  <c r="F56" i="2"/>
  <c r="G56" i="2"/>
  <c r="C57" i="1"/>
  <c r="A57" i="2"/>
  <c r="I57" i="2"/>
  <c r="B57" i="2"/>
  <c r="C57" i="2"/>
  <c r="D57" i="2"/>
  <c r="E57" i="2"/>
  <c r="F57" i="2"/>
  <c r="G57" i="2"/>
  <c r="C58" i="1"/>
  <c r="A58" i="2"/>
  <c r="I58" i="2"/>
  <c r="B58" i="2"/>
  <c r="C58" i="2"/>
  <c r="D58" i="2"/>
  <c r="E58" i="2"/>
  <c r="F58" i="2"/>
  <c r="G58" i="2"/>
  <c r="C59" i="1"/>
  <c r="A59" i="2"/>
  <c r="I59" i="2"/>
  <c r="B59" i="2"/>
  <c r="C59" i="2"/>
  <c r="D59" i="2"/>
  <c r="E59" i="2"/>
  <c r="F59" i="2"/>
  <c r="G59" i="2"/>
  <c r="C60" i="1"/>
  <c r="A60" i="2"/>
  <c r="I60" i="2"/>
  <c r="B60" i="2"/>
  <c r="C60" i="2"/>
  <c r="D60" i="2"/>
  <c r="E60" i="2"/>
  <c r="F60" i="2"/>
  <c r="G60" i="2"/>
  <c r="C61" i="1"/>
  <c r="A61" i="2"/>
  <c r="I61" i="2"/>
  <c r="B61" i="2"/>
  <c r="C61" i="2"/>
  <c r="D61" i="2"/>
  <c r="E61" i="2"/>
  <c r="F61" i="2"/>
  <c r="G61" i="2"/>
  <c r="C62" i="1"/>
  <c r="A62" i="2"/>
  <c r="I62" i="2"/>
  <c r="B62" i="2"/>
  <c r="C62" i="2"/>
  <c r="D62" i="2"/>
  <c r="E62" i="2"/>
  <c r="F62" i="2"/>
  <c r="G62" i="2"/>
  <c r="C63" i="1"/>
  <c r="A63" i="2"/>
  <c r="I63" i="2"/>
  <c r="B63" i="2"/>
  <c r="C63" i="2"/>
  <c r="D63" i="2"/>
  <c r="E63" i="2"/>
  <c r="F63" i="2"/>
  <c r="G63" i="2"/>
  <c r="C64" i="1"/>
  <c r="A64" i="2"/>
  <c r="I64" i="2"/>
  <c r="B64" i="2"/>
  <c r="C64" i="2"/>
  <c r="D64" i="2"/>
  <c r="E64" i="2"/>
  <c r="F64" i="2"/>
  <c r="G64" i="2"/>
  <c r="C65" i="1"/>
  <c r="A65" i="2"/>
  <c r="I65" i="2"/>
  <c r="B65" i="2"/>
  <c r="C65" i="2"/>
  <c r="D65" i="2"/>
  <c r="E65" i="2"/>
  <c r="F65" i="2"/>
  <c r="G65" i="2"/>
  <c r="C66" i="1"/>
  <c r="A66" i="2"/>
  <c r="I66" i="2"/>
  <c r="B66" i="2"/>
  <c r="C66" i="2"/>
  <c r="D66" i="2"/>
  <c r="E66" i="2"/>
  <c r="F66" i="2"/>
  <c r="G66" i="2"/>
  <c r="C67" i="1"/>
  <c r="A67" i="2"/>
  <c r="I67" i="2"/>
  <c r="B67" i="2"/>
  <c r="C67" i="2"/>
  <c r="D67" i="2"/>
  <c r="E67" i="2"/>
  <c r="F67" i="2"/>
  <c r="G67" i="2"/>
  <c r="C68" i="1"/>
  <c r="A68" i="2"/>
  <c r="I68" i="2"/>
  <c r="B68" i="2"/>
  <c r="C68" i="2"/>
  <c r="D68" i="2"/>
  <c r="E68" i="2"/>
  <c r="F68" i="2"/>
  <c r="G68" i="2"/>
  <c r="C69" i="1"/>
  <c r="A69" i="2"/>
  <c r="I69" i="2"/>
  <c r="B69" i="2"/>
  <c r="C69" i="2"/>
  <c r="D69" i="2"/>
  <c r="E69" i="2"/>
  <c r="F69" i="2"/>
  <c r="G69" i="2"/>
  <c r="C70" i="1"/>
  <c r="A70" i="2"/>
  <c r="I70" i="2"/>
  <c r="B70" i="2"/>
  <c r="C70" i="2"/>
  <c r="D70" i="2"/>
  <c r="E70" i="2"/>
  <c r="F70" i="2"/>
  <c r="G70" i="2"/>
  <c r="C71" i="1"/>
  <c r="A71" i="2"/>
  <c r="I71" i="2"/>
  <c r="B71" i="2"/>
  <c r="C71" i="2"/>
  <c r="D71" i="2"/>
  <c r="E71" i="2"/>
  <c r="F71" i="2"/>
  <c r="G71" i="2"/>
  <c r="C72" i="1"/>
  <c r="A72" i="2"/>
  <c r="I72" i="2"/>
  <c r="B72" i="2"/>
  <c r="C72" i="2"/>
  <c r="D72" i="2"/>
  <c r="E72" i="2"/>
  <c r="F72" i="2"/>
  <c r="G72" i="2"/>
  <c r="C73" i="1"/>
  <c r="A73" i="2"/>
  <c r="I73" i="2"/>
  <c r="B73" i="2"/>
  <c r="C73" i="2"/>
  <c r="D73" i="2"/>
  <c r="E73" i="2"/>
  <c r="F73" i="2"/>
  <c r="G73" i="2"/>
  <c r="C74" i="1"/>
  <c r="A74" i="2"/>
  <c r="I74" i="2"/>
  <c r="B74" i="2"/>
  <c r="C74" i="2"/>
  <c r="D74" i="2"/>
  <c r="E74" i="2"/>
  <c r="F74" i="2"/>
  <c r="G74" i="2"/>
  <c r="C75" i="1"/>
  <c r="A75" i="2"/>
  <c r="I75" i="2"/>
  <c r="B75" i="2"/>
  <c r="C75" i="2"/>
  <c r="D75" i="2"/>
  <c r="E75" i="2"/>
  <c r="F75" i="2"/>
  <c r="G75" i="2"/>
  <c r="C76" i="1"/>
  <c r="A76" i="2"/>
  <c r="I76" i="2"/>
  <c r="B76" i="2"/>
  <c r="C76" i="2"/>
  <c r="D76" i="2"/>
  <c r="E76" i="2"/>
  <c r="F76" i="2"/>
  <c r="G76" i="2"/>
  <c r="C77" i="1"/>
  <c r="A77" i="2"/>
  <c r="I77" i="2"/>
  <c r="B77" i="2"/>
  <c r="C77" i="2"/>
  <c r="D77" i="2"/>
  <c r="E77" i="2"/>
  <c r="F77" i="2"/>
  <c r="G77" i="2"/>
  <c r="C78" i="1"/>
  <c r="A78" i="2"/>
  <c r="I78" i="2"/>
  <c r="B78" i="2"/>
  <c r="C78" i="2"/>
  <c r="D78" i="2"/>
  <c r="E78" i="2"/>
  <c r="F78" i="2"/>
  <c r="G78" i="2"/>
  <c r="C79" i="1"/>
  <c r="A79" i="2"/>
  <c r="I79" i="2"/>
  <c r="B79" i="2"/>
  <c r="C79" i="2"/>
  <c r="D79" i="2"/>
  <c r="E79" i="2"/>
  <c r="F79" i="2"/>
  <c r="G79" i="2"/>
  <c r="C80" i="1"/>
  <c r="A80" i="2"/>
  <c r="I80" i="2"/>
  <c r="B80" i="2"/>
  <c r="C80" i="2"/>
  <c r="D80" i="2"/>
  <c r="E80" i="2"/>
  <c r="F80" i="2"/>
  <c r="G80" i="2"/>
  <c r="C81" i="1"/>
  <c r="A81" i="2"/>
  <c r="I81" i="2"/>
  <c r="B81" i="2"/>
  <c r="C81" i="2"/>
  <c r="D81" i="2"/>
  <c r="E81" i="2"/>
  <c r="F81" i="2"/>
  <c r="G81" i="2"/>
  <c r="C82" i="1"/>
  <c r="A82" i="2"/>
  <c r="I82" i="2"/>
  <c r="B82" i="2"/>
  <c r="C82" i="2"/>
  <c r="D82" i="2"/>
  <c r="E82" i="2"/>
  <c r="F82" i="2"/>
  <c r="G82" i="2"/>
  <c r="C83" i="1"/>
  <c r="A83" i="2"/>
  <c r="I83" i="2"/>
  <c r="B83" i="2"/>
  <c r="C83" i="2"/>
  <c r="D83" i="2"/>
  <c r="E83" i="2"/>
  <c r="F83" i="2"/>
  <c r="G83" i="2"/>
  <c r="C84" i="1"/>
  <c r="A84" i="2"/>
  <c r="I84" i="2"/>
  <c r="B84" i="2"/>
  <c r="C84" i="2"/>
  <c r="D84" i="2"/>
  <c r="E84" i="2"/>
  <c r="F84" i="2"/>
  <c r="G84" i="2"/>
  <c r="C85" i="1"/>
  <c r="A85" i="2"/>
  <c r="I85" i="2"/>
  <c r="B85" i="2"/>
  <c r="C85" i="2"/>
  <c r="D85" i="2"/>
  <c r="E85" i="2"/>
  <c r="F85" i="2"/>
  <c r="G85" i="2"/>
  <c r="C86" i="1"/>
  <c r="A86" i="2"/>
  <c r="I86" i="2"/>
  <c r="B86" i="2"/>
  <c r="C86" i="2"/>
  <c r="D86" i="2"/>
  <c r="E86" i="2"/>
  <c r="F86" i="2"/>
  <c r="G86" i="2"/>
  <c r="C87" i="1"/>
  <c r="A87" i="2"/>
  <c r="I87" i="2"/>
  <c r="B87" i="2"/>
  <c r="C87" i="2"/>
  <c r="D87" i="2"/>
  <c r="E87" i="2"/>
  <c r="F87" i="2"/>
  <c r="G87" i="2"/>
  <c r="C88" i="1"/>
  <c r="A88" i="2"/>
  <c r="I88" i="2"/>
  <c r="B88" i="2"/>
  <c r="C88" i="2"/>
  <c r="D88" i="2"/>
  <c r="E88" i="2"/>
  <c r="F88" i="2"/>
  <c r="G88" i="2"/>
  <c r="C89" i="1"/>
  <c r="A89" i="2"/>
  <c r="I89" i="2"/>
  <c r="B89" i="2"/>
  <c r="C89" i="2"/>
  <c r="D89" i="2"/>
  <c r="E89" i="2"/>
  <c r="F89" i="2"/>
  <c r="G89" i="2"/>
  <c r="C90" i="1"/>
  <c r="A90" i="2"/>
  <c r="I90" i="2"/>
  <c r="B90" i="2"/>
  <c r="C90" i="2"/>
  <c r="D90" i="2"/>
  <c r="E90" i="2"/>
  <c r="F90" i="2"/>
  <c r="G90" i="2"/>
  <c r="C91" i="1"/>
  <c r="A91" i="2"/>
  <c r="I91" i="2"/>
  <c r="B91" i="2"/>
  <c r="C91" i="2"/>
  <c r="D91" i="2"/>
  <c r="E91" i="2"/>
  <c r="F91" i="2"/>
  <c r="G91" i="2"/>
  <c r="C92" i="1"/>
  <c r="A92" i="2"/>
  <c r="I92" i="2"/>
  <c r="B92" i="2"/>
  <c r="C92" i="2"/>
  <c r="D92" i="2"/>
  <c r="E92" i="2"/>
  <c r="F92" i="2"/>
  <c r="G92" i="2"/>
  <c r="C93" i="1"/>
  <c r="A93" i="2"/>
  <c r="I93" i="2"/>
  <c r="B93" i="2"/>
  <c r="C93" i="2"/>
  <c r="D93" i="2"/>
  <c r="E93" i="2"/>
  <c r="F93" i="2"/>
  <c r="G93" i="2"/>
  <c r="C94" i="1"/>
  <c r="A94" i="2"/>
  <c r="I94" i="2"/>
  <c r="B94" i="2"/>
  <c r="C94" i="2"/>
  <c r="D94" i="2"/>
  <c r="E94" i="2"/>
  <c r="F94" i="2"/>
  <c r="G94" i="2"/>
  <c r="C95" i="1"/>
  <c r="A95" i="2"/>
  <c r="I95" i="2"/>
  <c r="B95" i="2"/>
  <c r="C95" i="2"/>
  <c r="D95" i="2"/>
  <c r="E95" i="2"/>
  <c r="F95" i="2"/>
  <c r="G95" i="2"/>
  <c r="C96" i="1"/>
  <c r="A96" i="2"/>
  <c r="I96" i="2"/>
  <c r="B96" i="2"/>
  <c r="C96" i="2"/>
  <c r="D96" i="2"/>
  <c r="E96" i="2"/>
  <c r="F96" i="2"/>
  <c r="G96" i="2"/>
  <c r="C97" i="1"/>
  <c r="A97" i="2"/>
  <c r="I97" i="2"/>
  <c r="B97" i="2"/>
  <c r="C97" i="2"/>
  <c r="D97" i="2"/>
  <c r="E97" i="2"/>
  <c r="F97" i="2"/>
  <c r="G97" i="2"/>
  <c r="C98" i="1"/>
  <c r="A98" i="2"/>
  <c r="I98" i="2"/>
  <c r="B98" i="2"/>
  <c r="C98" i="2"/>
  <c r="D98" i="2"/>
  <c r="E98" i="2"/>
  <c r="F98" i="2"/>
  <c r="G98" i="2"/>
  <c r="C99" i="1"/>
  <c r="A99" i="2"/>
  <c r="I99" i="2"/>
  <c r="B99" i="2"/>
  <c r="C99" i="2"/>
  <c r="D99" i="2"/>
  <c r="E99" i="2"/>
  <c r="F99" i="2"/>
  <c r="G99" i="2"/>
  <c r="C100" i="1"/>
  <c r="A100" i="2"/>
  <c r="I100" i="2"/>
  <c r="B100" i="2"/>
  <c r="C100" i="2"/>
  <c r="D100" i="2"/>
  <c r="E100" i="2"/>
  <c r="F100" i="2"/>
  <c r="G100" i="2"/>
  <c r="C101" i="1"/>
  <c r="A101" i="2"/>
  <c r="I101" i="2"/>
  <c r="B101" i="2"/>
  <c r="C101" i="2"/>
  <c r="D101" i="2"/>
  <c r="E101" i="2"/>
  <c r="F101" i="2"/>
  <c r="G101" i="2"/>
  <c r="C102" i="1"/>
  <c r="A102" i="2"/>
  <c r="I102" i="2"/>
  <c r="B102" i="2"/>
  <c r="C102" i="2"/>
  <c r="D102" i="2"/>
  <c r="E102" i="2"/>
  <c r="F102" i="2"/>
  <c r="G102" i="2"/>
  <c r="C103" i="1"/>
  <c r="A103" i="2"/>
  <c r="I103" i="2"/>
  <c r="B103" i="2"/>
  <c r="C103" i="2"/>
  <c r="D103" i="2"/>
  <c r="E103" i="2"/>
  <c r="F103" i="2"/>
  <c r="G103" i="2"/>
  <c r="C104" i="1"/>
  <c r="A104" i="2"/>
  <c r="I104" i="2"/>
  <c r="B104" i="2"/>
  <c r="C104" i="2"/>
  <c r="D104" i="2"/>
  <c r="E104" i="2"/>
  <c r="F104" i="2"/>
  <c r="G104" i="2"/>
  <c r="C105" i="1"/>
  <c r="A105" i="2"/>
  <c r="I105" i="2"/>
  <c r="B105" i="2"/>
  <c r="C105" i="2"/>
  <c r="D105" i="2"/>
  <c r="E105" i="2"/>
  <c r="F105" i="2"/>
  <c r="G105" i="2"/>
  <c r="C106" i="1"/>
  <c r="A106" i="2"/>
  <c r="I106" i="2"/>
  <c r="B106" i="2"/>
  <c r="C106" i="2"/>
  <c r="D106" i="2"/>
  <c r="E106" i="2"/>
  <c r="F106" i="2"/>
  <c r="G106" i="2"/>
  <c r="C107" i="1"/>
  <c r="A107" i="2"/>
  <c r="I107" i="2"/>
  <c r="B107" i="2"/>
  <c r="C107" i="2"/>
  <c r="D107" i="2"/>
  <c r="E107" i="2"/>
  <c r="F107" i="2"/>
  <c r="G107" i="2"/>
  <c r="C108" i="1"/>
  <c r="A108" i="2"/>
  <c r="I108" i="2"/>
  <c r="B108" i="2"/>
  <c r="C108" i="2"/>
  <c r="D108" i="2"/>
  <c r="E108" i="2"/>
  <c r="F108" i="2"/>
  <c r="G108" i="2"/>
  <c r="C109" i="1"/>
  <c r="A109" i="2"/>
  <c r="I109" i="2"/>
  <c r="B109" i="2"/>
  <c r="C109" i="2"/>
  <c r="D109" i="2"/>
  <c r="E109" i="2"/>
  <c r="F109" i="2"/>
  <c r="G109" i="2"/>
  <c r="C110" i="1"/>
  <c r="A110" i="2"/>
  <c r="I110" i="2"/>
  <c r="B110" i="2"/>
  <c r="C110" i="2"/>
  <c r="D110" i="2"/>
  <c r="E110" i="2"/>
  <c r="F110" i="2"/>
  <c r="G110" i="2"/>
  <c r="C111" i="1"/>
  <c r="A111" i="2"/>
  <c r="I111" i="2"/>
  <c r="B111" i="2"/>
  <c r="C111" i="2"/>
  <c r="D111" i="2"/>
  <c r="E111" i="2"/>
  <c r="F111" i="2"/>
  <c r="G111" i="2"/>
  <c r="C112" i="1"/>
  <c r="A112" i="2"/>
  <c r="I112" i="2"/>
  <c r="B112" i="2"/>
  <c r="C112" i="2"/>
  <c r="D112" i="2"/>
  <c r="E112" i="2"/>
  <c r="F112" i="2"/>
  <c r="G112" i="2"/>
  <c r="C113" i="1"/>
  <c r="A113" i="2"/>
  <c r="I113" i="2"/>
  <c r="B113" i="2"/>
  <c r="C113" i="2"/>
  <c r="D113" i="2"/>
  <c r="E113" i="2"/>
  <c r="F113" i="2"/>
  <c r="G113" i="2"/>
  <c r="C114" i="1"/>
  <c r="A114" i="2"/>
  <c r="I114" i="2"/>
  <c r="B114" i="2"/>
  <c r="C114" i="2"/>
  <c r="D114" i="2"/>
  <c r="E114" i="2"/>
  <c r="F114" i="2"/>
  <c r="G114" i="2"/>
  <c r="C115" i="1"/>
  <c r="A115" i="2"/>
  <c r="I115" i="2"/>
  <c r="B115" i="2"/>
  <c r="C115" i="2"/>
  <c r="D115" i="2"/>
  <c r="E115" i="2"/>
  <c r="F115" i="2"/>
  <c r="G115" i="2"/>
  <c r="C116" i="1"/>
  <c r="A116" i="2"/>
  <c r="I116" i="2"/>
  <c r="B116" i="2"/>
  <c r="C116" i="2"/>
  <c r="D116" i="2"/>
  <c r="E116" i="2"/>
  <c r="F116" i="2"/>
  <c r="G116" i="2"/>
  <c r="C117" i="1"/>
  <c r="A117" i="2"/>
  <c r="I117" i="2"/>
  <c r="B117" i="2"/>
  <c r="C117" i="2"/>
  <c r="D117" i="2"/>
  <c r="E117" i="2"/>
  <c r="F117" i="2"/>
  <c r="G117" i="2"/>
  <c r="C118" i="1"/>
  <c r="A118" i="2"/>
  <c r="I118" i="2"/>
  <c r="B118" i="2"/>
  <c r="C118" i="2"/>
  <c r="D118" i="2"/>
  <c r="E118" i="2"/>
  <c r="F118" i="2"/>
  <c r="G118" i="2"/>
  <c r="C119" i="1"/>
  <c r="A119" i="2"/>
  <c r="I119" i="2"/>
  <c r="B119" i="2"/>
  <c r="C119" i="2"/>
  <c r="D119" i="2"/>
  <c r="E119" i="2"/>
  <c r="F119" i="2"/>
  <c r="G119" i="2"/>
  <c r="C120" i="1"/>
  <c r="A120" i="2"/>
  <c r="I120" i="2"/>
  <c r="B120" i="2"/>
  <c r="C120" i="2"/>
  <c r="D120" i="2"/>
  <c r="E120" i="2"/>
  <c r="F120" i="2"/>
  <c r="G120" i="2"/>
  <c r="C121" i="1"/>
  <c r="A121" i="2"/>
  <c r="I121" i="2"/>
  <c r="B121" i="2"/>
  <c r="C121" i="2"/>
  <c r="D121" i="2"/>
  <c r="E121" i="2"/>
  <c r="F121" i="2"/>
  <c r="G121" i="2"/>
  <c r="C122" i="1"/>
  <c r="A122" i="2"/>
  <c r="I122" i="2"/>
  <c r="B122" i="2"/>
  <c r="C122" i="2"/>
  <c r="D122" i="2"/>
  <c r="E122" i="2"/>
  <c r="F122" i="2"/>
  <c r="G122" i="2"/>
  <c r="C123" i="1"/>
  <c r="A123" i="2"/>
  <c r="I123" i="2"/>
  <c r="B123" i="2"/>
  <c r="C123" i="2"/>
  <c r="D123" i="2"/>
  <c r="E123" i="2"/>
  <c r="F123" i="2"/>
  <c r="G123" i="2"/>
  <c r="C124" i="1"/>
  <c r="A124" i="2"/>
  <c r="I124" i="2"/>
  <c r="B124" i="2"/>
  <c r="C124" i="2"/>
  <c r="D124" i="2"/>
  <c r="E124" i="2"/>
  <c r="F124" i="2"/>
  <c r="G124" i="2"/>
  <c r="C125" i="1"/>
  <c r="A125" i="2"/>
  <c r="I125" i="2"/>
  <c r="B125" i="2"/>
  <c r="C125" i="2"/>
  <c r="D125" i="2"/>
  <c r="E125" i="2"/>
  <c r="F125" i="2"/>
  <c r="G125" i="2"/>
  <c r="C126" i="1"/>
  <c r="A126" i="2"/>
  <c r="I126" i="2"/>
  <c r="B126" i="2"/>
  <c r="C126" i="2"/>
  <c r="D126" i="2"/>
  <c r="E126" i="2"/>
  <c r="F126" i="2"/>
  <c r="G126" i="2"/>
  <c r="C127" i="1"/>
  <c r="A127" i="2"/>
  <c r="I127" i="2"/>
  <c r="B127" i="2"/>
  <c r="C127" i="2"/>
  <c r="D127" i="2"/>
  <c r="E127" i="2"/>
  <c r="F127" i="2"/>
  <c r="G127" i="2"/>
  <c r="A23" i="4"/>
  <c r="B23" i="4"/>
  <c r="C23" i="4"/>
  <c r="D23" i="4"/>
  <c r="E23" i="4"/>
  <c r="F23" i="4"/>
  <c r="G23" i="4"/>
  <c r="H23" i="4"/>
  <c r="A24" i="4"/>
  <c r="B24" i="4"/>
  <c r="C24" i="4"/>
  <c r="D24" i="4"/>
  <c r="E24" i="4"/>
  <c r="F24" i="4"/>
  <c r="G24" i="4"/>
  <c r="H24" i="4"/>
  <c r="A25" i="4"/>
  <c r="B25" i="4"/>
  <c r="C25" i="4"/>
  <c r="D25" i="4"/>
  <c r="E25" i="4"/>
  <c r="F25" i="4"/>
  <c r="G25" i="4"/>
  <c r="H25" i="4"/>
  <c r="A26" i="4"/>
  <c r="B26" i="4"/>
  <c r="C26" i="4"/>
  <c r="D26" i="4"/>
  <c r="E26" i="4"/>
  <c r="F26" i="4"/>
  <c r="G26" i="4"/>
  <c r="H26" i="4"/>
  <c r="A27" i="4"/>
  <c r="B27" i="4"/>
  <c r="C27" i="4"/>
  <c r="D27" i="4"/>
  <c r="E27" i="4"/>
  <c r="F27" i="4"/>
  <c r="G27" i="4"/>
  <c r="H27" i="4"/>
  <c r="A28" i="4"/>
  <c r="B28" i="4"/>
  <c r="C28" i="4"/>
  <c r="D28" i="4"/>
  <c r="E28" i="4"/>
  <c r="F28" i="4"/>
  <c r="G28" i="4"/>
  <c r="H28" i="4"/>
  <c r="A29" i="4"/>
  <c r="B29" i="4"/>
  <c r="C29" i="4"/>
  <c r="D29" i="4"/>
  <c r="E29" i="4"/>
  <c r="F29" i="4"/>
  <c r="G29" i="4"/>
  <c r="H29" i="4"/>
  <c r="A30" i="4"/>
  <c r="B30" i="4"/>
  <c r="C30" i="4"/>
  <c r="D30" i="4"/>
  <c r="E30" i="4"/>
  <c r="F30" i="4"/>
  <c r="G30" i="4"/>
  <c r="H30" i="4"/>
  <c r="A31" i="4"/>
  <c r="B31" i="4"/>
  <c r="C31" i="4"/>
  <c r="D31" i="4"/>
  <c r="E31" i="4"/>
  <c r="F31" i="4"/>
  <c r="G31" i="4"/>
  <c r="H31" i="4"/>
  <c r="A32" i="4"/>
  <c r="B32" i="4"/>
  <c r="C32" i="4"/>
  <c r="D32" i="4"/>
  <c r="E32" i="4"/>
  <c r="F32" i="4"/>
  <c r="G32" i="4"/>
  <c r="H32" i="4"/>
  <c r="A33" i="4"/>
  <c r="B33" i="4"/>
  <c r="C33" i="4"/>
  <c r="D33" i="4"/>
  <c r="E33" i="4"/>
  <c r="F33" i="4"/>
  <c r="G33" i="4"/>
  <c r="H33" i="4"/>
  <c r="A34" i="4"/>
  <c r="B34" i="4"/>
  <c r="C34" i="4"/>
  <c r="D34" i="4"/>
  <c r="E34" i="4"/>
  <c r="F34" i="4"/>
  <c r="G34" i="4"/>
  <c r="H34" i="4"/>
  <c r="A35" i="4"/>
  <c r="B35" i="4"/>
  <c r="C35" i="4"/>
  <c r="D35" i="4"/>
  <c r="E35" i="4"/>
  <c r="F35" i="4"/>
  <c r="G35" i="4"/>
  <c r="H35" i="4"/>
  <c r="A36" i="4"/>
  <c r="B36" i="4"/>
  <c r="C36" i="4"/>
  <c r="D36" i="4"/>
  <c r="E36" i="4"/>
  <c r="F36" i="4"/>
  <c r="G36" i="4"/>
  <c r="H36" i="4"/>
  <c r="A37" i="4"/>
  <c r="B37" i="4"/>
  <c r="C37" i="4"/>
  <c r="D37" i="4"/>
  <c r="E37" i="4"/>
  <c r="F37" i="4"/>
  <c r="G37" i="4"/>
  <c r="H37" i="4"/>
  <c r="A38" i="4"/>
  <c r="B38" i="4"/>
  <c r="C38" i="4"/>
  <c r="D38" i="4"/>
  <c r="E38" i="4"/>
  <c r="F38" i="4"/>
  <c r="G38" i="4"/>
  <c r="H38" i="4"/>
  <c r="A39" i="4"/>
  <c r="B39" i="4"/>
  <c r="C39" i="4"/>
  <c r="D39" i="4"/>
  <c r="E39" i="4"/>
  <c r="F39" i="4"/>
  <c r="G39" i="4"/>
  <c r="H39" i="4"/>
  <c r="A40" i="4"/>
  <c r="B40" i="4"/>
  <c r="C40" i="4"/>
  <c r="D40" i="4"/>
  <c r="E40" i="4"/>
  <c r="F40" i="4"/>
  <c r="G40" i="4"/>
  <c r="H40" i="4"/>
  <c r="A41" i="4"/>
  <c r="B41" i="4"/>
  <c r="C41" i="4"/>
  <c r="D41" i="4"/>
  <c r="E41" i="4"/>
  <c r="F41" i="4"/>
  <c r="G41" i="4"/>
  <c r="H41" i="4"/>
  <c r="A42" i="4"/>
  <c r="B42" i="4"/>
  <c r="C42" i="4"/>
  <c r="D42" i="4"/>
  <c r="E42" i="4"/>
  <c r="F42" i="4"/>
  <c r="G42" i="4"/>
  <c r="H42" i="4"/>
  <c r="A43" i="4"/>
  <c r="B43" i="4"/>
  <c r="C43" i="4"/>
  <c r="D43" i="4"/>
  <c r="E43" i="4"/>
  <c r="F43" i="4"/>
  <c r="G43" i="4"/>
  <c r="H43" i="4"/>
  <c r="A44" i="4"/>
  <c r="B44" i="4"/>
  <c r="C44" i="4"/>
  <c r="D44" i="4"/>
  <c r="E44" i="4"/>
  <c r="F44" i="4"/>
  <c r="G44" i="4"/>
  <c r="H44" i="4"/>
  <c r="A45" i="4"/>
  <c r="B45" i="4"/>
  <c r="C45" i="4"/>
  <c r="D45" i="4"/>
  <c r="E45" i="4"/>
  <c r="F45" i="4"/>
  <c r="G45" i="4"/>
  <c r="H45" i="4"/>
  <c r="A46" i="4"/>
  <c r="B46" i="4"/>
  <c r="C46" i="4"/>
  <c r="D46" i="4"/>
  <c r="E46" i="4"/>
  <c r="F46" i="4"/>
  <c r="G46" i="4"/>
  <c r="H46" i="4"/>
  <c r="A47" i="4"/>
  <c r="B47" i="4"/>
  <c r="C47" i="4"/>
  <c r="D47" i="4"/>
  <c r="E47" i="4"/>
  <c r="F47" i="4"/>
  <c r="G47" i="4"/>
  <c r="H47" i="4"/>
  <c r="A48" i="4"/>
  <c r="B48" i="4"/>
  <c r="C48" i="4"/>
  <c r="D48" i="4"/>
  <c r="E48" i="4"/>
  <c r="F48" i="4"/>
  <c r="G48" i="4"/>
  <c r="H48" i="4"/>
  <c r="A49" i="4"/>
  <c r="B49" i="4"/>
  <c r="C49" i="4"/>
  <c r="D49" i="4"/>
  <c r="E49" i="4"/>
  <c r="F49" i="4"/>
  <c r="G49" i="4"/>
  <c r="H49" i="4"/>
  <c r="A50" i="4"/>
  <c r="B50" i="4"/>
  <c r="C50" i="4"/>
  <c r="D50" i="4"/>
  <c r="E50" i="4"/>
  <c r="F50" i="4"/>
  <c r="G50" i="4"/>
  <c r="H50" i="4"/>
  <c r="A51" i="4"/>
  <c r="B51" i="4"/>
  <c r="C51" i="4"/>
  <c r="D51" i="4"/>
  <c r="E51" i="4"/>
  <c r="F51" i="4"/>
  <c r="G51" i="4"/>
  <c r="H51" i="4"/>
  <c r="A52" i="4"/>
  <c r="B52" i="4"/>
  <c r="C52" i="4"/>
  <c r="D52" i="4"/>
  <c r="E52" i="4"/>
  <c r="F52" i="4"/>
  <c r="G52" i="4"/>
  <c r="H52" i="4"/>
  <c r="A53" i="4"/>
  <c r="B53" i="4"/>
  <c r="C53" i="4"/>
  <c r="D53" i="4"/>
  <c r="E53" i="4"/>
  <c r="F53" i="4"/>
  <c r="G53" i="4"/>
  <c r="H53" i="4"/>
  <c r="A54" i="4"/>
  <c r="B54" i="4"/>
  <c r="C54" i="4"/>
  <c r="D54" i="4"/>
  <c r="E54" i="4"/>
  <c r="F54" i="4"/>
  <c r="G54" i="4"/>
  <c r="H54" i="4"/>
  <c r="A55" i="4"/>
  <c r="B55" i="4"/>
  <c r="C55" i="4"/>
  <c r="D55" i="4"/>
  <c r="E55" i="4"/>
  <c r="F55" i="4"/>
  <c r="G55" i="4"/>
  <c r="H55" i="4"/>
  <c r="A56" i="4"/>
  <c r="B56" i="4"/>
  <c r="C56" i="4"/>
  <c r="D56" i="4"/>
  <c r="E56" i="4"/>
  <c r="F56" i="4"/>
  <c r="G56" i="4"/>
  <c r="H56" i="4"/>
  <c r="A57" i="4"/>
  <c r="B57" i="4"/>
  <c r="C57" i="4"/>
  <c r="D57" i="4"/>
  <c r="E57" i="4"/>
  <c r="F57" i="4"/>
  <c r="G57" i="4"/>
  <c r="H57" i="4"/>
  <c r="A58" i="4"/>
  <c r="B58" i="4"/>
  <c r="C58" i="4"/>
  <c r="D58" i="4"/>
  <c r="E58" i="4"/>
  <c r="F58" i="4"/>
  <c r="G58" i="4"/>
  <c r="H58" i="4"/>
  <c r="A59" i="4"/>
  <c r="B59" i="4"/>
  <c r="C59" i="4"/>
  <c r="D59" i="4"/>
  <c r="E59" i="4"/>
  <c r="F59" i="4"/>
  <c r="G59" i="4"/>
  <c r="H59" i="4"/>
  <c r="A60" i="4"/>
  <c r="B60" i="4"/>
  <c r="C60" i="4"/>
  <c r="D60" i="4"/>
  <c r="E60" i="4"/>
  <c r="F60" i="4"/>
  <c r="G60" i="4"/>
  <c r="H60" i="4"/>
  <c r="A61" i="4"/>
  <c r="B61" i="4"/>
  <c r="C61" i="4"/>
  <c r="D61" i="4"/>
  <c r="E61" i="4"/>
  <c r="F61" i="4"/>
  <c r="G61" i="4"/>
  <c r="H61" i="4"/>
  <c r="A62" i="4"/>
  <c r="B62" i="4"/>
  <c r="C62" i="4"/>
  <c r="D62" i="4"/>
  <c r="E62" i="4"/>
  <c r="F62" i="4"/>
  <c r="G62" i="4"/>
  <c r="H62" i="4"/>
  <c r="A63" i="4"/>
  <c r="B63" i="4"/>
  <c r="C63" i="4"/>
  <c r="D63" i="4"/>
  <c r="E63" i="4"/>
  <c r="F63" i="4"/>
  <c r="G63" i="4"/>
  <c r="H63" i="4"/>
  <c r="A64" i="4"/>
  <c r="B64" i="4"/>
  <c r="C64" i="4"/>
  <c r="D64" i="4"/>
  <c r="E64" i="4"/>
  <c r="F64" i="4"/>
  <c r="G64" i="4"/>
  <c r="H64" i="4"/>
  <c r="A65" i="4"/>
  <c r="B65" i="4"/>
  <c r="C65" i="4"/>
  <c r="D65" i="4"/>
  <c r="E65" i="4"/>
  <c r="F65" i="4"/>
  <c r="G65" i="4"/>
  <c r="H65" i="4"/>
  <c r="A66" i="4"/>
  <c r="B66" i="4"/>
  <c r="C66" i="4"/>
  <c r="D66" i="4"/>
  <c r="E66" i="4"/>
  <c r="F66" i="4"/>
  <c r="G66" i="4"/>
  <c r="H66" i="4"/>
  <c r="A67" i="4"/>
  <c r="B67" i="4"/>
  <c r="C67" i="4"/>
  <c r="D67" i="4"/>
  <c r="E67" i="4"/>
  <c r="F67" i="4"/>
  <c r="G67" i="4"/>
  <c r="H67" i="4"/>
  <c r="A68" i="4"/>
  <c r="B68" i="4"/>
  <c r="C68" i="4"/>
  <c r="D68" i="4"/>
  <c r="E68" i="4"/>
  <c r="F68" i="4"/>
  <c r="G68" i="4"/>
  <c r="H68" i="4"/>
  <c r="A69" i="4"/>
  <c r="B69" i="4"/>
  <c r="C69" i="4"/>
  <c r="D69" i="4"/>
  <c r="E69" i="4"/>
  <c r="F69" i="4"/>
  <c r="G69" i="4"/>
  <c r="H69" i="4"/>
  <c r="A70" i="4"/>
  <c r="B70" i="4"/>
  <c r="C70" i="4"/>
  <c r="D70" i="4"/>
  <c r="E70" i="4"/>
  <c r="F70" i="4"/>
  <c r="G70" i="4"/>
  <c r="H70" i="4"/>
  <c r="A71" i="4"/>
  <c r="B71" i="4"/>
  <c r="C71" i="4"/>
  <c r="D71" i="4"/>
  <c r="E71" i="4"/>
  <c r="F71" i="4"/>
  <c r="G71" i="4"/>
  <c r="H71" i="4"/>
  <c r="A72" i="4"/>
  <c r="B72" i="4"/>
  <c r="C72" i="4"/>
  <c r="D72" i="4"/>
  <c r="E72" i="4"/>
  <c r="F72" i="4"/>
  <c r="G72" i="4"/>
  <c r="H72" i="4"/>
  <c r="A73" i="4"/>
  <c r="B73" i="4"/>
  <c r="C73" i="4"/>
  <c r="D73" i="4"/>
  <c r="E73" i="4"/>
  <c r="F73" i="4"/>
  <c r="G73" i="4"/>
  <c r="H73" i="4"/>
  <c r="A74" i="4"/>
  <c r="B74" i="4"/>
  <c r="C74" i="4"/>
  <c r="D74" i="4"/>
  <c r="E74" i="4"/>
  <c r="F74" i="4"/>
  <c r="G74" i="4"/>
  <c r="H74" i="4"/>
  <c r="A75" i="4"/>
  <c r="B75" i="4"/>
  <c r="C75" i="4"/>
  <c r="D75" i="4"/>
  <c r="E75" i="4"/>
  <c r="F75" i="4"/>
  <c r="G75" i="4"/>
  <c r="H75" i="4"/>
  <c r="A76" i="4"/>
  <c r="B76" i="4"/>
  <c r="C76" i="4"/>
  <c r="D76" i="4"/>
  <c r="E76" i="4"/>
  <c r="F76" i="4"/>
  <c r="G76" i="4"/>
  <c r="H76" i="4"/>
  <c r="A77" i="4"/>
  <c r="B77" i="4"/>
  <c r="C77" i="4"/>
  <c r="D77" i="4"/>
  <c r="E77" i="4"/>
  <c r="F77" i="4"/>
  <c r="G77" i="4"/>
  <c r="H77" i="4"/>
  <c r="A78" i="4"/>
  <c r="B78" i="4"/>
  <c r="C78" i="4"/>
  <c r="D78" i="4"/>
  <c r="E78" i="4"/>
  <c r="F78" i="4"/>
  <c r="G78" i="4"/>
  <c r="H78" i="4"/>
  <c r="A79" i="4"/>
  <c r="B79" i="4"/>
  <c r="C79" i="4"/>
  <c r="D79" i="4"/>
  <c r="E79" i="4"/>
  <c r="F79" i="4"/>
  <c r="G79" i="4"/>
  <c r="H79" i="4"/>
  <c r="A80" i="4"/>
  <c r="B80" i="4"/>
  <c r="C80" i="4"/>
  <c r="D80" i="4"/>
  <c r="E80" i="4"/>
  <c r="F80" i="4"/>
  <c r="G80" i="4"/>
  <c r="H80" i="4"/>
  <c r="A81" i="4"/>
  <c r="B81" i="4"/>
  <c r="C81" i="4"/>
  <c r="D81" i="4"/>
  <c r="E81" i="4"/>
  <c r="F81" i="4"/>
  <c r="G81" i="4"/>
  <c r="H81" i="4"/>
  <c r="A82" i="4"/>
  <c r="B82" i="4"/>
  <c r="C82" i="4"/>
  <c r="D82" i="4"/>
  <c r="E82" i="4"/>
  <c r="F82" i="4"/>
  <c r="G82" i="4"/>
  <c r="H82" i="4"/>
  <c r="A83" i="4"/>
  <c r="B83" i="4"/>
  <c r="C83" i="4"/>
  <c r="D83" i="4"/>
  <c r="E83" i="4"/>
  <c r="F83" i="4"/>
  <c r="G83" i="4"/>
  <c r="H83" i="4"/>
  <c r="A84" i="4"/>
  <c r="B84" i="4"/>
  <c r="C84" i="4"/>
  <c r="D84" i="4"/>
  <c r="E84" i="4"/>
  <c r="F84" i="4"/>
  <c r="G84" i="4"/>
  <c r="H84" i="4"/>
  <c r="A85" i="4"/>
  <c r="B85" i="4"/>
  <c r="C85" i="4"/>
  <c r="D85" i="4"/>
  <c r="E85" i="4"/>
  <c r="F85" i="4"/>
  <c r="G85" i="4"/>
  <c r="H85" i="4"/>
  <c r="A86" i="4"/>
  <c r="B86" i="4"/>
  <c r="C86" i="4"/>
  <c r="D86" i="4"/>
  <c r="E86" i="4"/>
  <c r="F86" i="4"/>
  <c r="G86" i="4"/>
  <c r="H86" i="4"/>
  <c r="A87" i="4"/>
  <c r="B87" i="4"/>
  <c r="C87" i="4"/>
  <c r="D87" i="4"/>
  <c r="E87" i="4"/>
  <c r="F87" i="4"/>
  <c r="G87" i="4"/>
  <c r="H87" i="4"/>
  <c r="A88" i="4"/>
  <c r="B88" i="4"/>
  <c r="C88" i="4"/>
  <c r="D88" i="4"/>
  <c r="E88" i="4"/>
  <c r="F88" i="4"/>
  <c r="G88" i="4"/>
  <c r="H88" i="4"/>
  <c r="A89" i="4"/>
  <c r="B89" i="4"/>
  <c r="C89" i="4"/>
  <c r="D89" i="4"/>
  <c r="E89" i="4"/>
  <c r="F89" i="4"/>
  <c r="G89" i="4"/>
  <c r="H89" i="4"/>
  <c r="A90" i="4"/>
  <c r="B90" i="4"/>
  <c r="C90" i="4"/>
  <c r="D90" i="4"/>
  <c r="E90" i="4"/>
  <c r="F90" i="4"/>
  <c r="G90" i="4"/>
  <c r="H90" i="4"/>
  <c r="A91" i="4"/>
  <c r="B91" i="4"/>
  <c r="C91" i="4"/>
  <c r="D91" i="4"/>
  <c r="E91" i="4"/>
  <c r="F91" i="4"/>
  <c r="G91" i="4"/>
  <c r="H91" i="4"/>
  <c r="A92" i="4"/>
  <c r="B92" i="4"/>
  <c r="C92" i="4"/>
  <c r="D92" i="4"/>
  <c r="E92" i="4"/>
  <c r="F92" i="4"/>
  <c r="G92" i="4"/>
  <c r="H92" i="4"/>
  <c r="A93" i="4"/>
  <c r="B93" i="4"/>
  <c r="C93" i="4"/>
  <c r="D93" i="4"/>
  <c r="E93" i="4"/>
  <c r="F93" i="4"/>
  <c r="G93" i="4"/>
  <c r="H93" i="4"/>
  <c r="A94" i="4"/>
  <c r="B94" i="4"/>
  <c r="C94" i="4"/>
  <c r="D94" i="4"/>
  <c r="E94" i="4"/>
  <c r="F94" i="4"/>
  <c r="G94" i="4"/>
  <c r="H94" i="4"/>
  <c r="A95" i="4"/>
  <c r="B95" i="4"/>
  <c r="C95" i="4"/>
  <c r="D95" i="4"/>
  <c r="E95" i="4"/>
  <c r="F95" i="4"/>
  <c r="G95" i="4"/>
  <c r="H95" i="4"/>
  <c r="A96" i="4"/>
  <c r="B96" i="4"/>
  <c r="C96" i="4"/>
  <c r="D96" i="4"/>
  <c r="E96" i="4"/>
  <c r="F96" i="4"/>
  <c r="G96" i="4"/>
  <c r="H96" i="4"/>
  <c r="A97" i="4"/>
  <c r="B97" i="4"/>
  <c r="C97" i="4"/>
  <c r="D97" i="4"/>
  <c r="E97" i="4"/>
  <c r="F97" i="4"/>
  <c r="G97" i="4"/>
  <c r="H97" i="4"/>
  <c r="A98" i="4"/>
  <c r="B98" i="4"/>
  <c r="C98" i="4"/>
  <c r="D98" i="4"/>
  <c r="E98" i="4"/>
  <c r="F98" i="4"/>
  <c r="G98" i="4"/>
  <c r="H98" i="4"/>
  <c r="A99" i="4"/>
  <c r="B99" i="4"/>
  <c r="C99" i="4"/>
  <c r="D99" i="4"/>
  <c r="E99" i="4"/>
  <c r="F99" i="4"/>
  <c r="G99" i="4"/>
  <c r="H99" i="4"/>
  <c r="A100" i="4"/>
  <c r="B100" i="4"/>
  <c r="C100" i="4"/>
  <c r="D100" i="4"/>
  <c r="E100" i="4"/>
  <c r="F100" i="4"/>
  <c r="G100" i="4"/>
  <c r="H100" i="4"/>
  <c r="A101" i="4"/>
  <c r="B101" i="4"/>
  <c r="C101" i="4"/>
  <c r="D101" i="4"/>
  <c r="E101" i="4"/>
  <c r="F101" i="4"/>
  <c r="G101" i="4"/>
  <c r="H101" i="4"/>
  <c r="A102" i="4"/>
  <c r="B102" i="4"/>
  <c r="C102" i="4"/>
  <c r="D102" i="4"/>
  <c r="E102" i="4"/>
  <c r="F102" i="4"/>
  <c r="G102" i="4"/>
  <c r="H102" i="4"/>
  <c r="A103" i="4"/>
  <c r="B103" i="4"/>
  <c r="C103" i="4"/>
  <c r="D103" i="4"/>
  <c r="E103" i="4"/>
  <c r="F103" i="4"/>
  <c r="G103" i="4"/>
  <c r="H103" i="4"/>
  <c r="A104" i="4"/>
  <c r="B104" i="4"/>
  <c r="C104" i="4"/>
  <c r="D104" i="4"/>
  <c r="E104" i="4"/>
  <c r="F104" i="4"/>
  <c r="G104" i="4"/>
  <c r="H104" i="4"/>
  <c r="A105" i="4"/>
  <c r="B105" i="4"/>
  <c r="C105" i="4"/>
  <c r="D105" i="4"/>
  <c r="E105" i="4"/>
  <c r="F105" i="4"/>
  <c r="G105" i="4"/>
  <c r="H105" i="4"/>
  <c r="A106" i="4"/>
  <c r="B106" i="4"/>
  <c r="C106" i="4"/>
  <c r="D106" i="4"/>
  <c r="E106" i="4"/>
  <c r="F106" i="4"/>
  <c r="G106" i="4"/>
  <c r="H106" i="4"/>
  <c r="A107" i="4"/>
  <c r="B107" i="4"/>
  <c r="C107" i="4"/>
  <c r="D107" i="4"/>
  <c r="E107" i="4"/>
  <c r="F107" i="4"/>
  <c r="G107" i="4"/>
  <c r="H107" i="4"/>
  <c r="A108" i="4"/>
  <c r="B108" i="4"/>
  <c r="C108" i="4"/>
  <c r="D108" i="4"/>
  <c r="E108" i="4"/>
  <c r="F108" i="4"/>
  <c r="G108" i="4"/>
  <c r="H108" i="4"/>
  <c r="A109" i="4"/>
  <c r="B109" i="4"/>
  <c r="C109" i="4"/>
  <c r="D109" i="4"/>
  <c r="E109" i="4"/>
  <c r="F109" i="4"/>
  <c r="G109" i="4"/>
  <c r="H109" i="4"/>
  <c r="A110" i="4"/>
  <c r="B110" i="4"/>
  <c r="C110" i="4"/>
  <c r="D110" i="4"/>
  <c r="E110" i="4"/>
  <c r="F110" i="4"/>
  <c r="G110" i="4"/>
  <c r="H110" i="4"/>
  <c r="A111" i="4"/>
  <c r="B111" i="4"/>
  <c r="C111" i="4"/>
  <c r="D111" i="4"/>
  <c r="E111" i="4"/>
  <c r="F111" i="4"/>
  <c r="G111" i="4"/>
  <c r="H111" i="4"/>
  <c r="A112" i="4"/>
  <c r="B112" i="4"/>
  <c r="C112" i="4"/>
  <c r="D112" i="4"/>
  <c r="E112" i="4"/>
  <c r="F112" i="4"/>
  <c r="G112" i="4"/>
  <c r="H112" i="4"/>
  <c r="A113" i="4"/>
  <c r="B113" i="4"/>
  <c r="C113" i="4"/>
  <c r="D113" i="4"/>
  <c r="E113" i="4"/>
  <c r="F113" i="4"/>
  <c r="G113" i="4"/>
  <c r="H113" i="4"/>
  <c r="A114" i="4"/>
  <c r="B114" i="4"/>
  <c r="C114" i="4"/>
  <c r="D114" i="4"/>
  <c r="E114" i="4"/>
  <c r="F114" i="4"/>
  <c r="G114" i="4"/>
  <c r="H114" i="4"/>
  <c r="A115" i="4"/>
  <c r="B115" i="4"/>
  <c r="C115" i="4"/>
  <c r="D115" i="4"/>
  <c r="E115" i="4"/>
  <c r="F115" i="4"/>
  <c r="G115" i="4"/>
  <c r="H115" i="4"/>
  <c r="A116" i="4"/>
  <c r="B116" i="4"/>
  <c r="C116" i="4"/>
  <c r="D116" i="4"/>
  <c r="E116" i="4"/>
  <c r="F116" i="4"/>
  <c r="G116" i="4"/>
  <c r="H116" i="4"/>
  <c r="A117" i="4"/>
  <c r="B117" i="4"/>
  <c r="C117" i="4"/>
  <c r="D117" i="4"/>
  <c r="E117" i="4"/>
  <c r="F117" i="4"/>
  <c r="G117" i="4"/>
  <c r="H117" i="4"/>
  <c r="A118" i="4"/>
  <c r="B118" i="4"/>
  <c r="C118" i="4"/>
  <c r="D118" i="4"/>
  <c r="E118" i="4"/>
  <c r="F118" i="4"/>
  <c r="G118" i="4"/>
  <c r="H118" i="4"/>
  <c r="A119" i="4"/>
  <c r="B119" i="4"/>
  <c r="C119" i="4"/>
  <c r="D119" i="4"/>
  <c r="E119" i="4"/>
  <c r="F119" i="4"/>
  <c r="G119" i="4"/>
  <c r="H119" i="4"/>
  <c r="A120" i="4"/>
  <c r="B120" i="4"/>
  <c r="C120" i="4"/>
  <c r="D120" i="4"/>
  <c r="E120" i="4"/>
  <c r="F120" i="4"/>
  <c r="G120" i="4"/>
  <c r="H120" i="4"/>
  <c r="A121" i="4"/>
  <c r="B121" i="4"/>
  <c r="C121" i="4"/>
  <c r="D121" i="4"/>
  <c r="E121" i="4"/>
  <c r="F121" i="4"/>
  <c r="G121" i="4"/>
  <c r="H121" i="4"/>
  <c r="A122" i="4"/>
  <c r="B122" i="4"/>
  <c r="C122" i="4"/>
  <c r="D122" i="4"/>
  <c r="E122" i="4"/>
  <c r="F122" i="4"/>
  <c r="G122" i="4"/>
  <c r="H122" i="4"/>
  <c r="A123" i="4"/>
  <c r="B123" i="4"/>
  <c r="C123" i="4"/>
  <c r="D123" i="4"/>
  <c r="E123" i="4"/>
  <c r="F123" i="4"/>
  <c r="G123" i="4"/>
  <c r="H123" i="4"/>
  <c r="A124" i="4"/>
  <c r="B124" i="4"/>
  <c r="C124" i="4"/>
  <c r="D124" i="4"/>
  <c r="E124" i="4"/>
  <c r="F124" i="4"/>
  <c r="G124" i="4"/>
  <c r="H124" i="4"/>
  <c r="A125" i="4"/>
  <c r="B125" i="4"/>
  <c r="C125" i="4"/>
  <c r="D125" i="4"/>
  <c r="E125" i="4"/>
  <c r="F125" i="4"/>
  <c r="G125" i="4"/>
  <c r="H125" i="4"/>
  <c r="A126" i="4"/>
  <c r="B126" i="4"/>
  <c r="C126" i="4"/>
  <c r="D126" i="4"/>
  <c r="E126" i="4"/>
  <c r="F126" i="4"/>
  <c r="G126" i="4"/>
  <c r="H126" i="4"/>
  <c r="W54" i="1"/>
  <c r="V54" i="1"/>
  <c r="W53" i="1"/>
  <c r="V53" i="1"/>
  <c r="Y5" i="1"/>
  <c r="Z5" i="1"/>
  <c r="W126" i="1"/>
  <c r="V126" i="1"/>
  <c r="W5" i="1"/>
  <c r="V5" i="1"/>
  <c r="W124" i="1"/>
  <c r="V124" i="1"/>
  <c r="X5" i="1"/>
  <c r="Y4" i="1"/>
  <c r="Z4" i="1"/>
  <c r="W127" i="1"/>
  <c r="V127" i="1"/>
  <c r="W4" i="1"/>
  <c r="V4" i="1"/>
  <c r="W125" i="1"/>
  <c r="V125" i="1"/>
  <c r="X4" i="1"/>
  <c r="W21" i="1"/>
  <c r="V21" i="1"/>
  <c r="W20" i="1"/>
  <c r="V20" i="1"/>
  <c r="B13" i="8"/>
  <c r="W6" i="1"/>
  <c r="V6" i="1"/>
  <c r="W123" i="1"/>
  <c r="V123" i="1"/>
  <c r="C6" i="1"/>
  <c r="B12" i="8"/>
  <c r="W7" i="1"/>
  <c r="V7" i="1"/>
  <c r="W122" i="1"/>
  <c r="V122" i="1"/>
  <c r="C7" i="1"/>
  <c r="W121" i="1"/>
  <c r="V121" i="1"/>
  <c r="W8" i="1"/>
  <c r="V8" i="1"/>
  <c r="X6" i="1"/>
  <c r="Z6" i="1"/>
  <c r="Y6" i="1"/>
  <c r="X7" i="1"/>
  <c r="Z7" i="1"/>
  <c r="Y7" i="1"/>
  <c r="X8" i="1"/>
  <c r="Z8" i="1"/>
  <c r="Y8" i="1"/>
  <c r="W115" i="1"/>
  <c r="W114" i="1"/>
  <c r="W113" i="1"/>
  <c r="W120" i="1"/>
  <c r="W119" i="1"/>
  <c r="W118" i="1"/>
  <c r="W117" i="1"/>
  <c r="W116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19" i="1"/>
  <c r="W18" i="1"/>
  <c r="W17" i="1"/>
  <c r="W16" i="1"/>
  <c r="W15" i="1"/>
  <c r="W14" i="1"/>
  <c r="W13" i="1"/>
  <c r="W12" i="1"/>
  <c r="W11" i="1"/>
  <c r="W10" i="1"/>
  <c r="W9" i="1"/>
  <c r="W3" i="1"/>
  <c r="W2" i="1"/>
  <c r="V113" i="1"/>
  <c r="V115" i="1"/>
  <c r="V114" i="1"/>
  <c r="V9" i="1"/>
  <c r="V120" i="1"/>
  <c r="V10" i="1"/>
  <c r="V119" i="1"/>
  <c r="V11" i="1"/>
  <c r="V118" i="1"/>
  <c r="V12" i="1"/>
  <c r="V117" i="1"/>
  <c r="V13" i="1"/>
  <c r="V116" i="1"/>
  <c r="V14" i="1"/>
  <c r="V15" i="1"/>
  <c r="V16" i="1"/>
  <c r="V17" i="1"/>
  <c r="V112" i="1"/>
  <c r="V18" i="1"/>
  <c r="V111" i="1"/>
  <c r="V19" i="1"/>
  <c r="V110" i="1"/>
  <c r="V109" i="1"/>
  <c r="V108" i="1"/>
  <c r="V22" i="1"/>
  <c r="V107" i="1"/>
  <c r="V23" i="1"/>
  <c r="V106" i="1"/>
  <c r="V24" i="1"/>
  <c r="V105" i="1"/>
  <c r="V25" i="1"/>
  <c r="V104" i="1"/>
  <c r="V26" i="1"/>
  <c r="V103" i="1"/>
  <c r="V27" i="1"/>
  <c r="V102" i="1"/>
  <c r="V28" i="1"/>
  <c r="V101" i="1"/>
  <c r="V29" i="1"/>
  <c r="V100" i="1"/>
  <c r="V30" i="1"/>
  <c r="V99" i="1"/>
  <c r="V31" i="1"/>
  <c r="V98" i="1"/>
  <c r="V32" i="1"/>
  <c r="V97" i="1"/>
  <c r="V33" i="1"/>
  <c r="V96" i="1"/>
  <c r="V34" i="1"/>
  <c r="V95" i="1"/>
  <c r="V35" i="1"/>
  <c r="V94" i="1"/>
  <c r="V36" i="1"/>
  <c r="V93" i="1"/>
  <c r="V37" i="1"/>
  <c r="V92" i="1"/>
  <c r="V38" i="1"/>
  <c r="V91" i="1"/>
  <c r="V39" i="1"/>
  <c r="V90" i="1"/>
  <c r="V40" i="1"/>
  <c r="V89" i="1"/>
  <c r="V41" i="1"/>
  <c r="V88" i="1"/>
  <c r="V42" i="1"/>
  <c r="V87" i="1"/>
  <c r="V43" i="1"/>
  <c r="V86" i="1"/>
  <c r="V44" i="1"/>
  <c r="V85" i="1"/>
  <c r="V45" i="1"/>
  <c r="V84" i="1"/>
  <c r="V46" i="1"/>
  <c r="V83" i="1"/>
  <c r="V47" i="1"/>
  <c r="V82" i="1"/>
  <c r="V48" i="1"/>
  <c r="V81" i="1"/>
  <c r="V49" i="1"/>
  <c r="V80" i="1"/>
  <c r="V50" i="1"/>
  <c r="V79" i="1"/>
  <c r="V51" i="1"/>
  <c r="V78" i="1"/>
  <c r="V77" i="1"/>
  <c r="V52" i="1"/>
  <c r="V76" i="1"/>
  <c r="V75" i="1"/>
  <c r="V55" i="1"/>
  <c r="V74" i="1"/>
  <c r="V56" i="1"/>
  <c r="V73" i="1"/>
  <c r="V57" i="1"/>
  <c r="V72" i="1"/>
  <c r="V58" i="1"/>
  <c r="V71" i="1"/>
  <c r="V59" i="1"/>
  <c r="V70" i="1"/>
  <c r="V60" i="1"/>
  <c r="V69" i="1"/>
  <c r="V61" i="1"/>
  <c r="V68" i="1"/>
  <c r="V62" i="1"/>
  <c r="V67" i="1"/>
  <c r="V63" i="1"/>
  <c r="V66" i="1"/>
  <c r="V64" i="1"/>
  <c r="E7" i="2"/>
  <c r="E6" i="2"/>
  <c r="E5" i="2"/>
  <c r="E4" i="2"/>
  <c r="V3" i="1"/>
  <c r="E3" i="2"/>
  <c r="V2" i="1"/>
  <c r="E2" i="2"/>
  <c r="V65" i="1"/>
  <c r="X9" i="1"/>
  <c r="Z9" i="1"/>
  <c r="Y9" i="1"/>
  <c r="X10" i="1"/>
  <c r="Z10" i="1"/>
  <c r="Y10" i="1"/>
  <c r="X11" i="1"/>
  <c r="Z11" i="1"/>
  <c r="Y11" i="1"/>
  <c r="X12" i="1"/>
  <c r="Z12" i="1"/>
  <c r="Y12" i="1"/>
  <c r="X13" i="1"/>
  <c r="Z13" i="1"/>
  <c r="Y13" i="1"/>
  <c r="X14" i="1"/>
  <c r="Z14" i="1"/>
  <c r="Y14" i="1"/>
  <c r="X15" i="1"/>
  <c r="Z15" i="1"/>
  <c r="Y15" i="1"/>
  <c r="X16" i="1"/>
  <c r="Z16" i="1"/>
  <c r="Y16" i="1"/>
  <c r="X17" i="1"/>
  <c r="Z17" i="1"/>
  <c r="Y17" i="1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2" i="4"/>
  <c r="C2" i="4"/>
  <c r="B14" i="8"/>
  <c r="B15" i="8"/>
  <c r="B16" i="8"/>
  <c r="I7" i="2"/>
  <c r="G7" i="2"/>
  <c r="C7" i="2"/>
  <c r="I6" i="2"/>
  <c r="G6" i="2"/>
  <c r="C6" i="2"/>
  <c r="I5" i="2"/>
  <c r="G5" i="2"/>
  <c r="C5" i="2"/>
  <c r="I4" i="2"/>
  <c r="G4" i="2"/>
  <c r="F4" i="2"/>
  <c r="C4" i="2"/>
  <c r="B22" i="4"/>
  <c r="A22" i="4"/>
  <c r="B21" i="4"/>
  <c r="A21" i="4"/>
  <c r="B20" i="4"/>
  <c r="A20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B19" i="4"/>
  <c r="A3" i="4"/>
  <c r="I3" i="2"/>
  <c r="G3" i="2"/>
  <c r="F3" i="2"/>
  <c r="C3" i="2"/>
  <c r="E11" i="4"/>
  <c r="C3" i="1"/>
  <c r="C2" i="1"/>
  <c r="A2" i="2"/>
  <c r="D1" i="4"/>
  <c r="I2" i="2"/>
  <c r="G2" i="2"/>
  <c r="F2" i="2"/>
  <c r="B1" i="2"/>
  <c r="A1" i="2"/>
  <c r="C1" i="4"/>
  <c r="Z3" i="1"/>
  <c r="B2" i="4"/>
  <c r="Y3" i="1"/>
  <c r="A2" i="4"/>
  <c r="D2" i="6"/>
  <c r="D3" i="6"/>
  <c r="D4" i="6"/>
  <c r="D5" i="6"/>
  <c r="Z2" i="1"/>
  <c r="B1" i="4"/>
  <c r="Y2" i="1"/>
  <c r="A1" i="4"/>
  <c r="C2" i="2"/>
  <c r="H3" i="4"/>
  <c r="H11" i="4"/>
  <c r="H16" i="4"/>
  <c r="X3" i="1"/>
  <c r="H2" i="4"/>
  <c r="H9" i="4"/>
  <c r="X2" i="1"/>
  <c r="H1" i="4"/>
  <c r="H8" i="4"/>
  <c r="H15" i="4"/>
  <c r="H6" i="4"/>
  <c r="F7" i="4"/>
  <c r="G2" i="4"/>
  <c r="F5" i="2"/>
  <c r="H18" i="4"/>
  <c r="H21" i="4"/>
  <c r="H5" i="4"/>
  <c r="H12" i="4"/>
  <c r="H19" i="4"/>
  <c r="H14" i="4"/>
  <c r="H22" i="4"/>
  <c r="H20" i="4"/>
  <c r="H13" i="4"/>
  <c r="H7" i="4"/>
  <c r="H4" i="4"/>
  <c r="H10" i="4"/>
  <c r="H17" i="4"/>
  <c r="F2" i="4"/>
  <c r="E1" i="4"/>
  <c r="F22" i="4"/>
  <c r="G5" i="4"/>
  <c r="B6" i="2"/>
  <c r="G12" i="4"/>
  <c r="G7" i="4"/>
  <c r="G3" i="4"/>
  <c r="B4" i="2"/>
  <c r="G6" i="4"/>
  <c r="G14" i="4"/>
  <c r="G11" i="4"/>
  <c r="G18" i="4"/>
  <c r="G10" i="4"/>
  <c r="G20" i="4"/>
  <c r="G22" i="4"/>
  <c r="G9" i="4"/>
  <c r="G17" i="4"/>
  <c r="G8" i="4"/>
  <c r="G16" i="4"/>
  <c r="G4" i="4"/>
  <c r="B5" i="2"/>
  <c r="G13" i="4"/>
  <c r="G15" i="4"/>
  <c r="G19" i="4"/>
  <c r="E2" i="4"/>
  <c r="D3" i="2"/>
  <c r="B3" i="2"/>
  <c r="A3" i="2"/>
  <c r="F9" i="4"/>
  <c r="F17" i="4"/>
  <c r="F1" i="4"/>
  <c r="B2" i="2"/>
  <c r="G1" i="4"/>
  <c r="G21" i="4"/>
  <c r="B7" i="2"/>
  <c r="F6" i="4"/>
  <c r="D7" i="2"/>
  <c r="F7" i="2"/>
  <c r="F12" i="4"/>
  <c r="F8" i="4"/>
  <c r="F16" i="4"/>
  <c r="F13" i="4"/>
  <c r="F5" i="4"/>
  <c r="F6" i="2"/>
  <c r="D6" i="2"/>
  <c r="F14" i="4"/>
  <c r="F21" i="4"/>
  <c r="F20" i="4"/>
  <c r="F4" i="4"/>
  <c r="D5" i="2"/>
  <c r="F19" i="4"/>
  <c r="F11" i="4"/>
  <c r="F10" i="4"/>
  <c r="F3" i="4"/>
  <c r="D4" i="2"/>
  <c r="F18" i="4"/>
  <c r="F15" i="4"/>
  <c r="E13" i="4"/>
  <c r="E3" i="4"/>
  <c r="A4" i="2"/>
  <c r="D2" i="2"/>
  <c r="A7" i="2"/>
  <c r="E5" i="4"/>
  <c r="E9" i="4"/>
  <c r="E6" i="4"/>
  <c r="A5" i="2"/>
  <c r="E4" i="4"/>
  <c r="A6" i="2"/>
  <c r="E7" i="4"/>
  <c r="E14" i="4"/>
  <c r="E8" i="4"/>
  <c r="E20" i="4"/>
  <c r="E15" i="4"/>
  <c r="E21" i="4"/>
  <c r="E12" i="4"/>
  <c r="E17" i="4"/>
  <c r="E10" i="4"/>
  <c r="E16" i="4"/>
  <c r="E18" i="4"/>
  <c r="E19" i="4"/>
  <c r="E22" i="4"/>
</calcChain>
</file>

<file path=xl/sharedStrings.xml><?xml version="1.0" encoding="utf-8"?>
<sst xmlns="http://schemas.openxmlformats.org/spreadsheetml/2006/main" count="1325" uniqueCount="410">
  <si>
    <t>Resource</t>
  </si>
  <si>
    <t>DeviceCapability</t>
  </si>
  <si>
    <t>GET</t>
  </si>
  <si>
    <t>PUT</t>
  </si>
  <si>
    <t>POST</t>
  </si>
  <si>
    <t>is List</t>
  </si>
  <si>
    <t>EndDeviceList</t>
  </si>
  <si>
    <t>EndDevice</t>
  </si>
  <si>
    <t>SubscriptionList</t>
  </si>
  <si>
    <t>Subscription</t>
  </si>
  <si>
    <t>Notification</t>
  </si>
  <si>
    <t>DeviceStatus</t>
  </si>
  <si>
    <t>Registration</t>
  </si>
  <si>
    <t>FileList</t>
  </si>
  <si>
    <t>File</t>
  </si>
  <si>
    <t>FileStatus</t>
  </si>
  <si>
    <t>ActiveTextMessageList</t>
  </si>
  <si>
    <t>TextMessageList</t>
  </si>
  <si>
    <t>TariffProfile</t>
  </si>
  <si>
    <t>DERProgramList</t>
  </si>
  <si>
    <t>DERList</t>
  </si>
  <si>
    <t>DemandResponseProgramList</t>
  </si>
  <si>
    <t>BillingPeriodList</t>
  </si>
  <si>
    <t>TextMessage</t>
  </si>
  <si>
    <t>BillingPeriod</t>
  </si>
  <si>
    <t>DemandResponseProgram</t>
  </si>
  <si>
    <t>DER</t>
  </si>
  <si>
    <t>DERProgram</t>
  </si>
  <si>
    <t>Response</t>
  </si>
  <si>
    <t>ResponseList</t>
  </si>
  <si>
    <t>DrResponse</t>
  </si>
  <si>
    <t>ActiveEndDeviceControlList</t>
  </si>
  <si>
    <t>EndDeviceControlList</t>
  </si>
  <si>
    <t>EndDeviceControl</t>
  </si>
  <si>
    <t>LoadShedAvailability</t>
  </si>
  <si>
    <t>UsagePointList</t>
  </si>
  <si>
    <t>UsagePoint</t>
  </si>
  <si>
    <t>MeterReadingList</t>
  </si>
  <si>
    <t>MeterReading</t>
  </si>
  <si>
    <t>ReadingType</t>
  </si>
  <si>
    <t>ReadingList</t>
  </si>
  <si>
    <t>Reading</t>
  </si>
  <si>
    <t>MirrorUsagePointList</t>
  </si>
  <si>
    <t>MirrorUsagePoint</t>
  </si>
  <si>
    <t>TariffProfileList</t>
  </si>
  <si>
    <t>RateComponentList</t>
  </si>
  <si>
    <t>RateComponent</t>
  </si>
  <si>
    <t>TimeTariffIntervalList</t>
  </si>
  <si>
    <t>TimeTariffInterval</t>
  </si>
  <si>
    <t>ActiveTimeTariffIntervalList</t>
  </si>
  <si>
    <t>path</t>
  </si>
  <si>
    <t>code</t>
  </si>
  <si>
    <t>dcap</t>
  </si>
  <si>
    <t>edev</t>
  </si>
  <si>
    <t>sub</t>
  </si>
  <si>
    <t>dstat</t>
  </si>
  <si>
    <t>rg</t>
  </si>
  <si>
    <t>rsp</t>
  </si>
  <si>
    <t>actedc</t>
  </si>
  <si>
    <t>edc</t>
  </si>
  <si>
    <t>upt</t>
  </si>
  <si>
    <t>mr</t>
  </si>
  <si>
    <t>rt</t>
  </si>
  <si>
    <t>mup</t>
  </si>
  <si>
    <t>r</t>
  </si>
  <si>
    <t>tp</t>
  </si>
  <si>
    <t>rc</t>
  </si>
  <si>
    <t>acttti</t>
  </si>
  <si>
    <t>tti</t>
  </si>
  <si>
    <t>acttxt</t>
  </si>
  <si>
    <t>txt</t>
  </si>
  <si>
    <t>bp</t>
  </si>
  <si>
    <t>der</t>
  </si>
  <si>
    <t>derp</t>
  </si>
  <si>
    <t>fs</t>
  </si>
  <si>
    <t>ID</t>
  </si>
  <si>
    <t>parent</t>
  </si>
  <si>
    <t>No List</t>
  </si>
  <si>
    <t>ntfy</t>
  </si>
  <si>
    <t>AccountBalance</t>
  </si>
  <si>
    <t>Configuration</t>
  </si>
  <si>
    <t>CreditRegister</t>
  </si>
  <si>
    <t>CreditRegisterList</t>
  </si>
  <si>
    <t>CustomerAccount</t>
  </si>
  <si>
    <t>DERControl</t>
  </si>
  <si>
    <t>DERControlList</t>
  </si>
  <si>
    <t>DERStatus</t>
  </si>
  <si>
    <t>DeviceInformation</t>
  </si>
  <si>
    <t>HistoricalReading</t>
  </si>
  <si>
    <t>HistoricalReadingList</t>
  </si>
  <si>
    <t>LogEvent</t>
  </si>
  <si>
    <t>LogEventList</t>
  </si>
  <si>
    <t>MessagingProgram</t>
  </si>
  <si>
    <t>MessagingProgramList</t>
  </si>
  <si>
    <t>NotificationList</t>
  </si>
  <si>
    <t>PowerStatus</t>
  </si>
  <si>
    <t>Prepayment</t>
  </si>
  <si>
    <t>PrepaymentList</t>
  </si>
  <si>
    <t>PrepayOperationStatus</t>
  </si>
  <si>
    <t>ProjectionReading</t>
  </si>
  <si>
    <t>ProjectionReadingList</t>
  </si>
  <si>
    <t>ServiceSupplier</t>
  </si>
  <si>
    <t>SupplyInterruptionOverride</t>
  </si>
  <si>
    <t>SupplyInterruptionOverrideList</t>
  </si>
  <si>
    <t>TargetReading</t>
  </si>
  <si>
    <t>TargetReadingList</t>
  </si>
  <si>
    <t>Time</t>
  </si>
  <si>
    <t>derc</t>
  </si>
  <si>
    <t>cr</t>
  </si>
  <si>
    <t>ca</t>
  </si>
  <si>
    <t>ver</t>
  </si>
  <si>
    <t>pro</t>
  </si>
  <si>
    <t>tar</t>
  </si>
  <si>
    <t>tm</t>
  </si>
  <si>
    <t>ab</t>
  </si>
  <si>
    <t>os</t>
  </si>
  <si>
    <t>si</t>
  </si>
  <si>
    <t>ss</t>
  </si>
  <si>
    <t>msg</t>
  </si>
  <si>
    <t>Description</t>
  </si>
  <si>
    <t>cfg</t>
  </si>
  <si>
    <t>ders</t>
  </si>
  <si>
    <t xml:space="preserve">Contains registrations related to the indicated device. </t>
  </si>
  <si>
    <t xml:space="preserve">List of EndDeviceControls that are currently active. </t>
  </si>
  <si>
    <t>Mirror Usage point instance including resources it supports.</t>
  </si>
  <si>
    <t>List of TariffProfile instances.</t>
  </si>
  <si>
    <t xml:space="preserve">Specific TariffProfile instance.  Allows clients to obtain information about the rate code. </t>
  </si>
  <si>
    <t>List of RateComponent instances.  This list  specifies a rate-specific container for the charges associated with a specific ReadingType, also referenced by the Metering function set.</t>
  </si>
  <si>
    <t>Specific RateComponent instance.  Includes link(s) to the list of TimeTariffIntervals that apply to referenced ReadingType for the RateComponent instance.</t>
  </si>
  <si>
    <t>Specific TimeTariffInterval instance that represents a unique usage interval and associated charges for the premises.</t>
  </si>
  <si>
    <t>The active TimeTariffInterval instance(s) for a particular TariffProfile.</t>
  </si>
  <si>
    <t>List of BillingPeriods</t>
  </si>
  <si>
    <t>Specific Billing Period information</t>
  </si>
  <si>
    <t>A List of Prepayment instances.</t>
  </si>
  <si>
    <t>A particular Prepayment instance. Provides links to the Account Balance, Credit Register, and Operation Status resources for a particular service.</t>
  </si>
  <si>
    <t xml:space="preserve">Account Balance instance. </t>
  </si>
  <si>
    <t>A List of Credit Register instances. Interface for new credit transactions.</t>
  </si>
  <si>
    <t>A particular Credit Register instance. Records a payment transaction or other credit addition.</t>
  </si>
  <si>
    <t>The Operation Status for the given service. Identifies whether service should be continued. MAY also include other status information, such as low credit warning.</t>
  </si>
  <si>
    <t>A List of Supply Interruption Override instances.</t>
  </si>
  <si>
    <t>A particular Supply Interruption Override instance. This defines a period of time during which supply would not be interrupted even if available credit has been exhausted.</t>
  </si>
  <si>
    <t>Specific DER Control Program collection resource.  This resource can be thought of as a particular DERProgram endpoint.  This representation contains simple management attributes, as well as each associated resource.</t>
  </si>
  <si>
    <t>Specific DERControl resource.  This resource can be thought of as a particular DER control event for a period of time.</t>
  </si>
  <si>
    <t>List of DERControls that are currently active.</t>
  </si>
  <si>
    <t>actderc</t>
  </si>
  <si>
    <t>lel</t>
  </si>
  <si>
    <t>Sort</t>
  </si>
  <si>
    <t>ActiveDERControlList</t>
  </si>
  <si>
    <t>ActiveBillingPeriodList</t>
  </si>
  <si>
    <t>ActiveSupplyInterruptionOverrideList</t>
  </si>
  <si>
    <t>actbp</t>
  </si>
  <si>
    <t>actsi</t>
  </si>
  <si>
    <t>Smart Energy Resources</t>
  </si>
  <si>
    <t>Support Resources</t>
  </si>
  <si>
    <t>Common Resources</t>
  </si>
  <si>
    <t>Section</t>
  </si>
  <si>
    <t xml:space="preserve">Function Set </t>
  </si>
  <si>
    <t>Device Capability</t>
  </si>
  <si>
    <t>End Device Resource</t>
  </si>
  <si>
    <t>Device Information</t>
  </si>
  <si>
    <t>Power Status</t>
  </si>
  <si>
    <t>Network Status</t>
  </si>
  <si>
    <t>Configuration Resource</t>
  </si>
  <si>
    <t>Software Download</t>
  </si>
  <si>
    <t>Metering</t>
  </si>
  <si>
    <t>Pricing</t>
  </si>
  <si>
    <t>Messaging</t>
  </si>
  <si>
    <t>Billing</t>
  </si>
  <si>
    <t>Methods</t>
  </si>
  <si>
    <t>Include</t>
  </si>
  <si>
    <t xml:space="preserve"> </t>
  </si>
  <si>
    <t>M</t>
  </si>
  <si>
    <t>D</t>
  </si>
  <si>
    <t>O</t>
  </si>
  <si>
    <t>E</t>
  </si>
  <si>
    <t>DELETE</t>
  </si>
  <si>
    <t>Error</t>
  </si>
  <si>
    <t>Mandatory</t>
  </si>
  <si>
    <t>Optional</t>
  </si>
  <si>
    <t>Discouraged</t>
  </si>
  <si>
    <t>Devices MUST implement and conform, if function set supported.</t>
  </si>
  <si>
    <t>Devices SHOULD NOT implement, but if implemented, MUST conform.</t>
  </si>
  <si>
    <t>Devices MAY implement, and if implemented, MUST conform.</t>
  </si>
  <si>
    <t>ReadingSetList</t>
  </si>
  <si>
    <t>ReadingSet</t>
  </si>
  <si>
    <t>IPInterface</t>
  </si>
  <si>
    <t>IPInterfaceList</t>
  </si>
  <si>
    <t>Specific IPInterface resource.  This resource may be thought of as network status information for a specific network (IP) layer interface.</t>
  </si>
  <si>
    <t>RPLInstanceList</t>
  </si>
  <si>
    <t xml:space="preserve">List of RPL instances that the IPAddr is a member </t>
  </si>
  <si>
    <t>RPLInstance</t>
  </si>
  <si>
    <t>A specific RPL Instance</t>
  </si>
  <si>
    <t>RPLSourceRoutesList</t>
  </si>
  <si>
    <t>RPLSourceRoutes</t>
  </si>
  <si>
    <t>List of RPL source routes</t>
  </si>
  <si>
    <t>A specific RPL source route</t>
  </si>
  <si>
    <t>rpl</t>
  </si>
  <si>
    <t>srt</t>
  </si>
  <si>
    <t>Used to determine the resources available on a server.</t>
  </si>
  <si>
    <t xml:space="preserve">A specific LogEvent entry from the LogEventList. </t>
  </si>
  <si>
    <t>Meter Reading instance which contains ReadingSet and Reading resources</t>
  </si>
  <si>
    <t>Meter Reading type</t>
  </si>
  <si>
    <t>Reading Set list</t>
  </si>
  <si>
    <t>Reading Set instance which contains a list of Reading(s)</t>
  </si>
  <si>
    <t xml:space="preserve">Reading instance of a particular meter reading type. </t>
  </si>
  <si>
    <t>ps</t>
  </si>
  <si>
    <t>di</t>
  </si>
  <si>
    <t>fsa</t>
  </si>
  <si>
    <t>FunctionSetAssignmentsList</t>
  </si>
  <si>
    <t>FunctionSetAssignments</t>
  </si>
  <si>
    <t>ns</t>
  </si>
  <si>
    <t>file</t>
  </si>
  <si>
    <t>dr</t>
  </si>
  <si>
    <t>IPAddrList</t>
  </si>
  <si>
    <t>IPAddr</t>
  </si>
  <si>
    <t>LLInterfaceList</t>
  </si>
  <si>
    <t>LLInterface</t>
  </si>
  <si>
    <t>List of IP Addresses</t>
  </si>
  <si>
    <t>A specific IP Address</t>
  </si>
  <si>
    <t>List of Link Layer Interfaces</t>
  </si>
  <si>
    <t>A specific Link Layer Interface</t>
  </si>
  <si>
    <t>ll</t>
  </si>
  <si>
    <t>addr</t>
  </si>
  <si>
    <t>rs</t>
  </si>
  <si>
    <t>Function Set Assignments</t>
  </si>
  <si>
    <t xml:space="preserve">The device that is providing the services being accessed. </t>
  </si>
  <si>
    <t>SelfDevice</t>
  </si>
  <si>
    <t>CustomerAccountList</t>
  </si>
  <si>
    <t>A List of customer accounts</t>
  </si>
  <si>
    <t>DERCurveList</t>
  </si>
  <si>
    <t>DERCurve</t>
  </si>
  <si>
    <t>A List of DER curves</t>
  </si>
  <si>
    <t>A DER curve instance</t>
  </si>
  <si>
    <t>dc</t>
  </si>
  <si>
    <t xml:space="preserve">Contains function set assignments present on the server and/or related to the indicated device. </t>
  </si>
  <si>
    <t>Contains links to the specific function set assignments.</t>
  </si>
  <si>
    <t>A specific Demand Response / Load Control EndDeviceControl Response (DrResponse) instance.</t>
  </si>
  <si>
    <t>List of DemandResponseProgram instances. Devices implementing the DemandResponseProgramList resource MAY support multiple instances of DemandResponsePrograms.</t>
  </si>
  <si>
    <t xml:space="preserve">Specific DemandResponseProgram resource.  This resource can be thought of as a particular DemandResponseProgram endpoint.  </t>
  </si>
  <si>
    <t>List of EndDeviceControls.  Devices implementing the EndDeviceControlList resource MAY support multiple EndDeviceControls.</t>
  </si>
  <si>
    <t>Specific EndDeviceControl resource.  This resource can be thought of as a particular Demand Response / Load Control event for a period of time.</t>
  </si>
  <si>
    <t xml:space="preserve">Usage point resource list. Devices implementing the UsagePointList resource MAY support multiple instances of usage points. </t>
  </si>
  <si>
    <t xml:space="preserve">Usage point instance including links to associated information. </t>
  </si>
  <si>
    <t xml:space="preserve">Meter Reading list including explicit URIs for each valid meter reading resource. </t>
  </si>
  <si>
    <t xml:space="preserve">Reading list of a particular meter reading set. </t>
  </si>
  <si>
    <t xml:space="preserve">Mirror Usage point (meter) resource list. Devices implementing the MirrorUsagePointList resource may support multiple instances of meter mirror asset. </t>
  </si>
  <si>
    <t>A list of Distributed Energy Resources</t>
  </si>
  <si>
    <t>The information about a specific Distributed Energy Resource.</t>
  </si>
  <si>
    <t>List of DERProgram instances. Devices implementing the DERProgramList resource MAY support multiple instances of DERPrograms.</t>
  </si>
  <si>
    <t>List of DERControls.  Devices implementing the DERControlList resource MAY support multiple DERControls.</t>
  </si>
  <si>
    <t>A List of LogEvent instances.</t>
  </si>
  <si>
    <t>A list of verified historical readings.</t>
  </si>
  <si>
    <t>A list of billing targets.</t>
  </si>
  <si>
    <t>Provides the Time Resource.</t>
  </si>
  <si>
    <t>ResponseSetList</t>
  </si>
  <si>
    <t>ResponseSet</t>
  </si>
  <si>
    <t>List of ResponseSet instances or channels. Devices implementing the ResponseSetList resource MAY support multiple instances of ResponseSet</t>
  </si>
  <si>
    <t>Specific ResponseSet instance. This resource can be thought of as a particular ResponseList or channel.</t>
  </si>
  <si>
    <t>Application Doc Title</t>
  </si>
  <si>
    <t>Application Doc Text</t>
  </si>
  <si>
    <t>SEP 2.0 Application</t>
  </si>
  <si>
    <t>Resources Base</t>
  </si>
  <si>
    <t>Include Grammar</t>
  </si>
  <si>
    <t>sep.xsd</t>
  </si>
  <si>
    <t>Schema Reference</t>
  </si>
  <si>
    <t xml:space="preserve">List of Response instances. </t>
  </si>
  <si>
    <t xml:space="preserve">Specific Response instance. </t>
  </si>
  <si>
    <t>An individual TextMessage.</t>
  </si>
  <si>
    <t>Specific MessagingProgram instance. This resource can be thought of as a particular  TextMessageList  or channel.</t>
  </si>
  <si>
    <t>List of MessagingProgram instances or channels. Devices implementing the /msg resource MAY support multiple instances of  MessagingProgram</t>
  </si>
  <si>
    <t>sdev</t>
  </si>
  <si>
    <t>Self Device Resource</t>
  </si>
  <si>
    <t>rsps</t>
  </si>
  <si>
    <t>id1</t>
  </si>
  <si>
    <t>id2</t>
  </si>
  <si>
    <t>id3</t>
  </si>
  <si>
    <t>id4</t>
  </si>
  <si>
    <t>ids</t>
  </si>
  <si>
    <t>sampleParam type</t>
  </si>
  <si>
    <t>idType</t>
  </si>
  <si>
    <t>1 id</t>
  </si>
  <si>
    <t>2 ids</t>
  </si>
  <si>
    <t>3 ids</t>
  </si>
  <si>
    <t>4 ids</t>
  </si>
  <si>
    <t>5 ids</t>
  </si>
  <si>
    <t>&lt;/resources&gt;&lt;/application&gt;</t>
  </si>
  <si>
    <t>http://localhost/sep/</t>
  </si>
  <si>
    <t>after</t>
  </si>
  <si>
    <t>A specific subscription</t>
  </si>
  <si>
    <t>A specific notification</t>
  </si>
  <si>
    <t>A list of notifications</t>
  </si>
  <si>
    <t>A list of files</t>
  </si>
  <si>
    <t>A specific file</t>
  </si>
  <si>
    <t>isId</t>
  </si>
  <si>
    <t>A list of active billing periods.</t>
  </si>
  <si>
    <t>A specific projection reading channel</t>
  </si>
  <si>
    <t>A specific target reading channel</t>
  </si>
  <si>
    <t>A specific historical reading channel</t>
  </si>
  <si>
    <t>A specific service supplier</t>
  </si>
  <si>
    <t>A list of active supply interruption overrides</t>
  </si>
  <si>
    <t>0 ids</t>
  </si>
  <si>
    <t>Subscription/Notification Mechanism</t>
  </si>
  <si>
    <t>Contains subscriptions related to the indicated device. Documented in Subscription / Notification Mechanism.</t>
  </si>
  <si>
    <t>ppy</t>
  </si>
  <si>
    <t>ConsumptionTariffIntervalList</t>
  </si>
  <si>
    <t>ConsumptionTariffInterval</t>
  </si>
  <si>
    <t>cti</t>
  </si>
  <si>
    <t>Specific ConsumptionTariffInterval instance.</t>
  </si>
  <si>
    <t>CustomerAgreementList</t>
  </si>
  <si>
    <t>CustomerAgreement</t>
  </si>
  <si>
    <t>bill</t>
  </si>
  <si>
    <t>A list of customer agreements</t>
  </si>
  <si>
    <t>A customer agreement</t>
  </si>
  <si>
    <t xml:space="preserve">End device resource list. </t>
  </si>
  <si>
    <t>End device instance.</t>
  </si>
  <si>
    <t>A list of reading projections.</t>
  </si>
  <si>
    <t>Customer account information</t>
  </si>
  <si>
    <t>A list of TextMessages.</t>
  </si>
  <si>
    <t>List of ConsumptionTariffInterval instances.</t>
  </si>
  <si>
    <t>List of Messages that are currently active.</t>
  </si>
  <si>
    <t>Collection of TimeTariffInterval instances, including associated ConsumptionTariffInterval.</t>
  </si>
  <si>
    <t>Demand Response and Load Control</t>
  </si>
  <si>
    <t>PriceResponse</t>
  </si>
  <si>
    <t>TextResponse</t>
  </si>
  <si>
    <t xml:space="preserve">A specific PriceResponse instance. </t>
  </si>
  <si>
    <t>A specific TextMessage Response instance.</t>
  </si>
  <si>
    <t>BillingReadingSetList</t>
  </si>
  <si>
    <t>BillingReadingSet</t>
  </si>
  <si>
    <t>brs</t>
  </si>
  <si>
    <t>BillingReadingList</t>
  </si>
  <si>
    <t>BillingReading</t>
  </si>
  <si>
    <t>A list of billing reading sets</t>
  </si>
  <si>
    <t>A specific billing reading set</t>
  </si>
  <si>
    <t>A list of billing readings</t>
  </si>
  <si>
    <t>A specific billing reading</t>
  </si>
  <si>
    <t>br</t>
  </si>
  <si>
    <t>Distributed Energy Resources</t>
  </si>
  <si>
    <t>MediaType1</t>
  </si>
  <si>
    <t>MediaType2</t>
  </si>
  <si>
    <t>application/sep+xml</t>
  </si>
  <si>
    <t>application/sep-exi</t>
  </si>
  <si>
    <t>NeighborList</t>
  </si>
  <si>
    <t>Neighbor</t>
  </si>
  <si>
    <t>nbh</t>
  </si>
  <si>
    <t>List of 802.15.4 neighbors</t>
  </si>
  <si>
    <t>A specific 802.15.4 neighbor</t>
  </si>
  <si>
    <t>DERCapability</t>
  </si>
  <si>
    <t>dercap</t>
  </si>
  <si>
    <t>Capabilities of the DER</t>
  </si>
  <si>
    <t>prcfg</t>
  </si>
  <si>
    <t>Contains a List of price response configuration settings.</t>
  </si>
  <si>
    <t>Contains the price response configuration settings for this EndDevice associated with a RateComponent.</t>
  </si>
  <si>
    <t>dera</t>
  </si>
  <si>
    <t>DERAvailability</t>
  </si>
  <si>
    <t>SupportedLocaleList</t>
  </si>
  <si>
    <t>loc</t>
  </si>
  <si>
    <t>SupportedLocale</t>
  </si>
  <si>
    <t>FlowReservationRequestList</t>
  </si>
  <si>
    <t>List of FlowReservationRequests.  Devices implementing the FlowReservationRequestList resource MAY support multiple FlowReservationRequests.</t>
  </si>
  <si>
    <t>FlowReservationRequest</t>
  </si>
  <si>
    <t>FlowReservationResponseList</t>
  </si>
  <si>
    <t>List of FlowReservationResponses.  Devices implementing the FlowReservationResponseList resource MAY support multiple FlowReservationResponses.</t>
  </si>
  <si>
    <t>FlowReservationResponse</t>
  </si>
  <si>
    <t>frq</t>
  </si>
  <si>
    <t>frp</t>
  </si>
  <si>
    <t>Flow Reservation</t>
  </si>
  <si>
    <t>Specific FlowReservationResponse resource.  This resource can be thought of as a particular reservation event response for fast charging or discharging over a period of time.</t>
  </si>
  <si>
    <t>Specific FlowReservationRequest resource.  This resource can be thought of as a particular reservation event request for fast charging or discharging over a period of time.</t>
  </si>
  <si>
    <t>id5</t>
  </si>
  <si>
    <t>DERSettings</t>
  </si>
  <si>
    <t>derg</t>
  </si>
  <si>
    <t>POSTMirrorUsagePointRequest</t>
  </si>
  <si>
    <t>&lt;request&gt;&lt;representation mediaType="application/sep+xml" element="sep:MirrorMeterReadingList"/&gt;&lt;representation mediaType="application/sep-exi" element="sep:MirrorMeterReadingList"/&gt;&lt;representation mediaType="application/sep+xml" element="sep:MirrorMeterReading"/&gt;&lt;representation mediaType="application/sep-exi" element="sep:MirrorMeterReading" /&gt;&lt;/request&gt;</t>
  </si>
  <si>
    <t>isIO</t>
  </si>
  <si>
    <t>PriceResponseCfgList</t>
  </si>
  <si>
    <t>PriceResponseCfg</t>
  </si>
  <si>
    <t>Contains the configuration settings of the associated EndDevice or SelfDevice.</t>
  </si>
  <si>
    <t>The DER availability of the associated EndDevice or SelfDevice.</t>
  </si>
  <si>
    <t>The DER settings of the associated EndDevice or SelfDevice.</t>
  </si>
  <si>
    <t>The DER status of the associated EndDevice or SelfDevice.</t>
  </si>
  <si>
    <t>Device Information of the associated EndDevice or SelfDevice.</t>
  </si>
  <si>
    <t>Contains the current operational state of the associated EndDevice or SelfDevice.</t>
  </si>
  <si>
    <t>The file status of a particular file download for the associated EndDevice or SelfDevice.</t>
  </si>
  <si>
    <t>List of IPInterface instances on the associated EndDevice or SelfDevice.</t>
  </si>
  <si>
    <t>Contains the power status for the associated EndDevice or SelfDevice.</t>
  </si>
  <si>
    <t>A List of supported locales for the associated EndDevice or SelfDevice.</t>
  </si>
  <si>
    <t>A specific supported locale for the associated EndDevice or SelfDevice.</t>
  </si>
  <si>
    <t>dderc</t>
  </si>
  <si>
    <t>DefaultDERControl</t>
  </si>
  <si>
    <t>The DefaultDERControl resource.  This resource can be thought of as the default DERControl to be used if no active DERControl event is found.</t>
  </si>
  <si>
    <t>AssociatedUsagePoint</t>
  </si>
  <si>
    <t>AssociatedDERProgramList</t>
  </si>
  <si>
    <t>CurrentDERProgram</t>
  </si>
  <si>
    <t xml:space="preserve">The usage point associated with this DER instance. </t>
  </si>
  <si>
    <t>The List of DERProgram instances associated with this DER.</t>
  </si>
  <si>
    <t>cdp</t>
  </si>
  <si>
    <t xml:space="preserve">The specific DER Control Program being followed by the DER. </t>
  </si>
  <si>
    <t>LeftTruncated</t>
  </si>
  <si>
    <t>L-Trunc</t>
  </si>
  <si>
    <t>SEP 2.0.0</t>
  </si>
  <si>
    <t>DERControlResponse</t>
  </si>
  <si>
    <t>FlowReservationResponseResponse</t>
  </si>
  <si>
    <t>A specific DERControl Response instance.</t>
  </si>
  <si>
    <t>A specific FlowReservationResponse Response instance.</t>
  </si>
  <si>
    <t>LoadShedAvailabilityList</t>
  </si>
  <si>
    <t>lsl</t>
  </si>
  <si>
    <t>A List of LoadShedAvailability instances.</t>
  </si>
  <si>
    <t xml:space="preserve">A specific LoadShedAvailability entry from the LoadShedAvailabilityList. </t>
  </si>
  <si>
    <t>Log Event</t>
  </si>
  <si>
    <t>xmlns:sep="http://ieee.org/2030.5"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</si>
</sst>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left" vertical="top" wrapText="1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Fill="1" applyAlignment="1">
      <alignment horizontal="left" vertical="top" wrapText="1"/>
    </xf>
    <xf numFmtId="0" fontId="0" fillId="2" borderId="0" xfId="0" applyFill="1"/>
    <xf numFmtId="0" fontId="0" fillId="3" borderId="0" xfId="0" applyFill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4" fillId="0" borderId="0" xfId="0" applyFont="1" applyAlignment="1">
      <alignment horizontal="left" vertical="top" textRotation="90" wrapText="1"/>
    </xf>
    <xf numFmtId="0" fontId="1" fillId="0" borderId="0" xfId="0" applyFont="1" applyAlignment="1">
      <alignment horizontal="left" vertical="top" textRotation="90"/>
    </xf>
    <xf numFmtId="0" fontId="2" fillId="0" borderId="0" xfId="0" applyFont="1"/>
    <xf numFmtId="0" fontId="0" fillId="0" borderId="0" xfId="0" applyAlignment="1"/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Border="1" applyAlignment="1">
      <alignment horizontal="center" vertical="top" wrapText="1"/>
    </xf>
    <xf numFmtId="0" fontId="3" fillId="3" borderId="0" xfId="0" applyFont="1" applyFill="1" applyAlignment="1">
      <alignment horizontal="center" vertical="top" wrapText="1"/>
    </xf>
    <xf numFmtId="0" fontId="4" fillId="4" borderId="0" xfId="0" applyFont="1" applyFill="1" applyAlignment="1">
      <alignment horizontal="left" vertical="top" textRotation="90" wrapText="1"/>
    </xf>
    <xf numFmtId="0" fontId="1" fillId="4" borderId="0" xfId="0" applyFont="1" applyFill="1" applyAlignment="1">
      <alignment horizontal="center" vertical="top" textRotation="90"/>
    </xf>
    <xf numFmtId="0" fontId="1" fillId="4" borderId="0" xfId="0" applyFont="1" applyFill="1" applyAlignment="1">
      <alignment vertical="top" textRotation="90"/>
    </xf>
    <xf numFmtId="0" fontId="1" fillId="4" borderId="0" xfId="0" applyFont="1" applyFill="1" applyAlignment="1">
      <alignment horizontal="left" wrapText="1"/>
    </xf>
    <xf numFmtId="0" fontId="3" fillId="0" borderId="0" xfId="0" applyFont="1" applyBorder="1" applyAlignment="1">
      <alignment horizontal="center" vertical="top" wrapText="1"/>
    </xf>
    <xf numFmtId="0" fontId="3" fillId="5" borderId="0" xfId="0" applyFont="1" applyFill="1" applyAlignment="1">
      <alignment horizontal="center" vertical="top" wrapText="1"/>
    </xf>
    <xf numFmtId="0" fontId="1" fillId="4" borderId="0" xfId="0" applyFont="1" applyFill="1" applyAlignmen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120"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lor auto="1"/>
      </font>
      <fill>
        <patternFill>
          <bgColor theme="3" tint="0.59996337778862885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47625</xdr:rowOff>
    </xdr:from>
    <xdr:to>
      <xdr:col>4</xdr:col>
      <xdr:colOff>571500</xdr:colOff>
      <xdr:row>4</xdr:row>
      <xdr:rowOff>152400</xdr:rowOff>
    </xdr:to>
    <xdr:sp macro="" textlink="">
      <xdr:nvSpPr>
        <xdr:cNvPr id="2" name="Rectangle 1"/>
        <xdr:cNvSpPr/>
      </xdr:nvSpPr>
      <xdr:spPr>
        <a:xfrm>
          <a:off x="47625" y="238125"/>
          <a:ext cx="2962275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2</xdr:row>
          <xdr:rowOff>38100</xdr:rowOff>
        </xdr:from>
        <xdr:to>
          <xdr:col>3</xdr:col>
          <xdr:colOff>292100</xdr:colOff>
          <xdr:row>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tabSelected="1" workbookViewId="0">
      <selection activeCell="C4" sqref="C4"/>
    </sheetView>
  </sheetViews>
  <sheetFormatPr baseColWidth="10" defaultColWidth="8.83203125" defaultRowHeight="14" x14ac:dyDescent="0"/>
  <sheetData/>
  <pageMargins left="0.7" right="0.7" top="0.75" bottom="0.75" header="0.3" footer="0.3"/>
  <pageSetup orientation="portrait" horizont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w_Word_Doc">
                <anchor moveWithCells="1" sizeWithCells="1">
                  <from>
                    <xdr:col>1</xdr:col>
                    <xdr:colOff>330200</xdr:colOff>
                    <xdr:row>2</xdr:row>
                    <xdr:rowOff>38100</xdr:rowOff>
                  </from>
                  <to>
                    <xdr:col>3</xdr:col>
                    <xdr:colOff>292100</xdr:colOff>
                    <xdr:row>3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outlinePr summaryRight="0"/>
  </sheetPr>
  <dimension ref="A1:Z127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4" outlineLevelCol="1" x14ac:dyDescent="0"/>
  <cols>
    <col min="1" max="1" width="4.6640625" customWidth="1"/>
    <col min="2" max="2" width="35.1640625" bestFit="1" customWidth="1"/>
    <col min="3" max="3" width="43.33203125" customWidth="1" outlineLevel="1"/>
    <col min="4" max="7" width="3.1640625" style="9" customWidth="1" outlineLevel="1"/>
    <col min="8" max="8" width="2.5" style="17" customWidth="1"/>
    <col min="9" max="9" width="8" style="13" customWidth="1" outlineLevel="1"/>
    <col min="10" max="10" width="5.1640625" customWidth="1" outlineLevel="1"/>
    <col min="11" max="15" width="2.83203125" style="13" customWidth="1" outlineLevel="1"/>
    <col min="16" max="16" width="38.1640625" customWidth="1" outlineLevel="1"/>
    <col min="17" max="17" width="2.5" style="7" customWidth="1"/>
    <col min="18" max="18" width="22.5" customWidth="1" outlineLevel="1"/>
    <col min="19" max="19" width="24.1640625" customWidth="1" outlineLevel="1"/>
    <col min="20" max="20" width="7" customWidth="1"/>
    <col min="21" max="21" width="3" style="3" customWidth="1" outlineLevel="1"/>
    <col min="22" max="22" width="15.83203125" style="3" customWidth="1" outlineLevel="1"/>
    <col min="23" max="23" width="26.1640625" customWidth="1" outlineLevel="1"/>
    <col min="24" max="24" width="9" customWidth="1" outlineLevel="1"/>
    <col min="25" max="25" width="7.5" customWidth="1" outlineLevel="1"/>
    <col min="26" max="26" width="7" customWidth="1" outlineLevel="1"/>
  </cols>
  <sheetData>
    <row r="1" spans="1:26" ht="51.75" customHeight="1">
      <c r="A1" s="10" t="s">
        <v>75</v>
      </c>
      <c r="B1" s="2" t="s">
        <v>0</v>
      </c>
      <c r="C1" s="4" t="s">
        <v>50</v>
      </c>
      <c r="D1" s="10" t="s">
        <v>2</v>
      </c>
      <c r="E1" s="10" t="s">
        <v>3</v>
      </c>
      <c r="F1" s="10" t="s">
        <v>4</v>
      </c>
      <c r="G1" s="10" t="s">
        <v>175</v>
      </c>
      <c r="H1" s="18"/>
      <c r="I1" s="24" t="s">
        <v>51</v>
      </c>
      <c r="J1" s="19" t="s">
        <v>76</v>
      </c>
      <c r="K1" s="20" t="s">
        <v>5</v>
      </c>
      <c r="L1" s="20" t="s">
        <v>287</v>
      </c>
      <c r="M1" s="20" t="s">
        <v>293</v>
      </c>
      <c r="N1" s="20" t="s">
        <v>373</v>
      </c>
      <c r="O1" s="20" t="s">
        <v>277</v>
      </c>
      <c r="P1" s="21" t="s">
        <v>119</v>
      </c>
      <c r="Q1" s="14" t="s">
        <v>170</v>
      </c>
      <c r="R1" s="2" t="s">
        <v>155</v>
      </c>
      <c r="S1" s="2" t="s">
        <v>156</v>
      </c>
      <c r="T1" s="2" t="s">
        <v>146</v>
      </c>
      <c r="U1" s="11" t="s">
        <v>398</v>
      </c>
      <c r="V1" s="4" t="s">
        <v>77</v>
      </c>
      <c r="W1" s="4" t="s">
        <v>397</v>
      </c>
      <c r="X1" s="4" t="s">
        <v>168</v>
      </c>
      <c r="Y1" s="2" t="s">
        <v>169</v>
      </c>
      <c r="Z1" s="2" t="s">
        <v>169</v>
      </c>
    </row>
    <row r="2" spans="1:26">
      <c r="A2">
        <v>1</v>
      </c>
      <c r="B2" t="s">
        <v>1</v>
      </c>
      <c r="C2" t="str">
        <f t="shared" ref="C2:C33" si="0">IF(NOT(J2),"/",VLOOKUP(J2,A:C,3,FALSE)&amp;"/")&amp;IF(M2,"{","")&amp;I2&amp;IF(M2,"}","")</f>
        <v>/dcap</v>
      </c>
      <c r="D2" s="9" t="s">
        <v>171</v>
      </c>
      <c r="E2" s="22" t="s">
        <v>174</v>
      </c>
      <c r="F2" s="22" t="s">
        <v>174</v>
      </c>
      <c r="G2" s="22" t="s">
        <v>174</v>
      </c>
      <c r="H2" s="16"/>
      <c r="I2" s="13" t="s">
        <v>52</v>
      </c>
      <c r="J2">
        <v>0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  <c r="P2" t="s">
        <v>198</v>
      </c>
      <c r="R2" t="s">
        <v>153</v>
      </c>
      <c r="S2" t="s">
        <v>157</v>
      </c>
      <c r="T2">
        <v>1</v>
      </c>
      <c r="U2" s="15">
        <v>0</v>
      </c>
      <c r="V2" s="15" t="str">
        <f t="shared" ref="V2:V33" si="1">IF(RIGHT(B2,4)="List",LEFT(W2,LEN(W2)-4),W2)</f>
        <v>DeviceCapability</v>
      </c>
      <c r="W2" s="7" t="str">
        <f t="shared" ref="W2:W33" si="2">MID(B2,U2+1,99)</f>
        <v>DeviceCapability</v>
      </c>
      <c r="X2" s="7" t="str">
        <f>"GET/HEAD: "&amp;VLOOKUP(D2,MODE!A:D,2,FALSE)&amp;", "&amp;E$1&amp;": "&amp;VLOOKUP(E2,MODE!A:D,2,FALSE)&amp;", "&amp;F$1&amp;": "&amp;VLOOKUP(F2,MODE!A:D,2,FALSE)&amp;", "&amp;G$1&amp;": "&amp;VLOOKUP(G2,MODE!A:D,2,FALSE)</f>
        <v>GET/HEAD: Mandatory, PUT: Error, POST: Error, DELETE: Error</v>
      </c>
      <c r="Y2" s="7" t="b">
        <f t="shared" ref="Y2:Y17" si="3">NOT(R2=R1)</f>
        <v>1</v>
      </c>
      <c r="Z2" s="7" t="b">
        <f t="shared" ref="Z2:Z17" si="4">NOT(S2=S1)</f>
        <v>1</v>
      </c>
    </row>
    <row r="3" spans="1:26">
      <c r="A3">
        <v>2</v>
      </c>
      <c r="B3" t="s">
        <v>226</v>
      </c>
      <c r="C3" t="str">
        <f t="shared" si="0"/>
        <v>/sdev</v>
      </c>
      <c r="D3" s="9" t="s">
        <v>171</v>
      </c>
      <c r="E3" s="9" t="s">
        <v>172</v>
      </c>
      <c r="F3" s="9" t="s">
        <v>174</v>
      </c>
      <c r="G3" s="22" t="s">
        <v>174</v>
      </c>
      <c r="I3" s="13" t="s">
        <v>270</v>
      </c>
      <c r="J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t="s">
        <v>225</v>
      </c>
      <c r="R3" t="s">
        <v>153</v>
      </c>
      <c r="S3" t="s">
        <v>271</v>
      </c>
      <c r="T3">
        <v>2</v>
      </c>
      <c r="U3" s="15">
        <v>0</v>
      </c>
      <c r="V3" s="15" t="str">
        <f t="shared" si="1"/>
        <v>SelfDevice</v>
      </c>
      <c r="W3" s="7" t="str">
        <f t="shared" si="2"/>
        <v>SelfDevice</v>
      </c>
      <c r="X3" s="7" t="str">
        <f>"GET/HEAD: "&amp;VLOOKUP(D3,MODE!A:D,2,FALSE)&amp;", "&amp;E$1&amp;": "&amp;VLOOKUP(E3,MODE!A:D,2,FALSE)&amp;", "&amp;F$1&amp;": "&amp;VLOOKUP(F3,MODE!A:D,2,FALSE)&amp;", "&amp;G$1&amp;": "&amp;VLOOKUP(G3,MODE!A:D,2,FALSE)</f>
        <v>GET/HEAD: Mandatory, PUT: Discouraged, POST: Error, DELETE: Error</v>
      </c>
      <c r="Y3" s="7" t="b">
        <f t="shared" si="3"/>
        <v>0</v>
      </c>
      <c r="Z3" s="7" t="b">
        <f t="shared" si="4"/>
        <v>1</v>
      </c>
    </row>
    <row r="4" spans="1:26">
      <c r="A4">
        <v>3</v>
      </c>
      <c r="B4" t="s">
        <v>6</v>
      </c>
      <c r="C4" t="str">
        <f t="shared" si="0"/>
        <v>/edev</v>
      </c>
      <c r="D4" s="9" t="s">
        <v>171</v>
      </c>
      <c r="E4" s="9" t="s">
        <v>174</v>
      </c>
      <c r="F4" s="9" t="s">
        <v>173</v>
      </c>
      <c r="G4" s="22" t="s">
        <v>174</v>
      </c>
      <c r="I4" s="13" t="s">
        <v>53</v>
      </c>
      <c r="J4">
        <v>0</v>
      </c>
      <c r="K4" s="13">
        <v>1</v>
      </c>
      <c r="L4" s="13">
        <v>0</v>
      </c>
      <c r="M4" s="13">
        <v>0</v>
      </c>
      <c r="N4" s="13">
        <v>0</v>
      </c>
      <c r="O4" s="13">
        <v>0</v>
      </c>
      <c r="P4" t="s">
        <v>313</v>
      </c>
      <c r="R4" t="s">
        <v>153</v>
      </c>
      <c r="S4" t="s">
        <v>158</v>
      </c>
      <c r="T4">
        <v>3</v>
      </c>
      <c r="U4" s="15">
        <v>0</v>
      </c>
      <c r="V4" s="15" t="str">
        <f t="shared" si="1"/>
        <v>EndDevice</v>
      </c>
      <c r="W4" s="7" t="str">
        <f t="shared" si="2"/>
        <v>EndDeviceList</v>
      </c>
      <c r="X4" s="7" t="str">
        <f>"GET/HEAD: "&amp;VLOOKUP(D4,MODE!A:D,2,FALSE)&amp;", "&amp;E$1&amp;": "&amp;VLOOKUP(E4,MODE!A:D,2,FALSE)&amp;", "&amp;F$1&amp;": "&amp;VLOOKUP(F4,MODE!A:D,2,FALSE)&amp;", "&amp;G$1&amp;": "&amp;VLOOKUP(G4,MODE!A:D,2,FALSE)</f>
        <v>GET/HEAD: Mandatory, PUT: Error, POST: Optional, DELETE: Error</v>
      </c>
      <c r="Y4" s="7" t="b">
        <f t="shared" si="3"/>
        <v>0</v>
      </c>
      <c r="Z4" s="7" t="b">
        <f t="shared" si="4"/>
        <v>1</v>
      </c>
    </row>
    <row r="5" spans="1:26">
      <c r="A5">
        <v>4</v>
      </c>
      <c r="B5" t="s">
        <v>7</v>
      </c>
      <c r="C5" t="str">
        <f t="shared" si="0"/>
        <v>/edev/{id1}</v>
      </c>
      <c r="D5" s="9" t="s">
        <v>171</v>
      </c>
      <c r="E5" s="9" t="s">
        <v>173</v>
      </c>
      <c r="F5" s="9" t="s">
        <v>174</v>
      </c>
      <c r="G5" s="22" t="s">
        <v>173</v>
      </c>
      <c r="I5" s="13" t="s">
        <v>273</v>
      </c>
      <c r="J5">
        <v>3</v>
      </c>
      <c r="K5" s="13">
        <v>0</v>
      </c>
      <c r="L5" s="13">
        <v>0</v>
      </c>
      <c r="M5" s="13">
        <v>1</v>
      </c>
      <c r="N5" s="13">
        <v>0</v>
      </c>
      <c r="O5" s="13">
        <v>1</v>
      </c>
      <c r="P5" t="s">
        <v>314</v>
      </c>
      <c r="R5" t="s">
        <v>153</v>
      </c>
      <c r="S5" t="s">
        <v>158</v>
      </c>
      <c r="T5">
        <v>4</v>
      </c>
      <c r="U5" s="15">
        <v>0</v>
      </c>
      <c r="V5" s="15" t="str">
        <f t="shared" si="1"/>
        <v>EndDevice</v>
      </c>
      <c r="W5" s="7" t="str">
        <f t="shared" si="2"/>
        <v>EndDevice</v>
      </c>
      <c r="X5" s="7" t="str">
        <f>"GET/HEAD: "&amp;VLOOKUP(D5,MODE!A:D,2,FALSE)&amp;", "&amp;E$1&amp;": "&amp;VLOOKUP(E5,MODE!A:D,2,FALSE)&amp;", "&amp;F$1&amp;": "&amp;VLOOKUP(F5,MODE!A:D,2,FALSE)&amp;", "&amp;G$1&amp;": "&amp;VLOOKUP(G5,MODE!A:D,2,FALSE)</f>
        <v>GET/HEAD: Mandatory, PUT: Optional, POST: Error, DELETE: Optional</v>
      </c>
      <c r="Y5" s="7" t="b">
        <f t="shared" si="3"/>
        <v>0</v>
      </c>
      <c r="Z5" s="7" t="b">
        <f t="shared" si="4"/>
        <v>0</v>
      </c>
    </row>
    <row r="6" spans="1:26">
      <c r="A6">
        <v>5</v>
      </c>
      <c r="B6" t="s">
        <v>12</v>
      </c>
      <c r="C6" t="str">
        <f t="shared" si="0"/>
        <v>/edev/{id1}/rg</v>
      </c>
      <c r="D6" s="9" t="s">
        <v>171</v>
      </c>
      <c r="E6" s="9" t="s">
        <v>173</v>
      </c>
      <c r="F6" s="9" t="s">
        <v>174</v>
      </c>
      <c r="G6" s="22" t="s">
        <v>173</v>
      </c>
      <c r="I6" s="13" t="s">
        <v>56</v>
      </c>
      <c r="J6">
        <v>4</v>
      </c>
      <c r="K6" s="13">
        <v>0</v>
      </c>
      <c r="L6" s="13">
        <v>0</v>
      </c>
      <c r="M6" s="13">
        <v>0</v>
      </c>
      <c r="N6" s="13">
        <v>0</v>
      </c>
      <c r="O6" s="13">
        <v>1</v>
      </c>
      <c r="P6" t="s">
        <v>122</v>
      </c>
      <c r="R6" t="s">
        <v>153</v>
      </c>
      <c r="S6" t="s">
        <v>158</v>
      </c>
      <c r="T6">
        <v>5</v>
      </c>
      <c r="U6" s="15">
        <v>0</v>
      </c>
      <c r="V6" s="15" t="str">
        <f t="shared" si="1"/>
        <v>Registration</v>
      </c>
      <c r="W6" s="7" t="str">
        <f t="shared" si="2"/>
        <v>Registration</v>
      </c>
      <c r="X6" s="7" t="str">
        <f>"GET/HEAD: "&amp;VLOOKUP(D6,MODE!A:D,2,FALSE)&amp;", "&amp;E$1&amp;": "&amp;VLOOKUP(E6,MODE!A:D,2,FALSE)&amp;", "&amp;F$1&amp;": "&amp;VLOOKUP(F6,MODE!A:D,2,FALSE)&amp;", "&amp;G$1&amp;": "&amp;VLOOKUP(G6,MODE!A:D,2,FALSE)</f>
        <v>GET/HEAD: Mandatory, PUT: Optional, POST: Error, DELETE: Optional</v>
      </c>
      <c r="Y6" s="7" t="b">
        <f t="shared" si="3"/>
        <v>0</v>
      </c>
      <c r="Z6" s="7" t="b">
        <f t="shared" si="4"/>
        <v>0</v>
      </c>
    </row>
    <row r="7" spans="1:26">
      <c r="A7">
        <v>6</v>
      </c>
      <c r="B7" t="s">
        <v>11</v>
      </c>
      <c r="C7" t="str">
        <f t="shared" si="0"/>
        <v>/edev/{id1}/dstat</v>
      </c>
      <c r="D7" s="9" t="s">
        <v>171</v>
      </c>
      <c r="E7" s="9" t="s">
        <v>171</v>
      </c>
      <c r="F7" s="9" t="s">
        <v>174</v>
      </c>
      <c r="G7" s="22" t="s">
        <v>173</v>
      </c>
      <c r="I7" s="13" t="s">
        <v>55</v>
      </c>
      <c r="J7">
        <v>4</v>
      </c>
      <c r="K7" s="13">
        <v>0</v>
      </c>
      <c r="L7" s="13">
        <v>0</v>
      </c>
      <c r="M7" s="13">
        <v>0</v>
      </c>
      <c r="N7" s="13">
        <v>0</v>
      </c>
      <c r="O7" s="13">
        <v>1</v>
      </c>
      <c r="P7" t="s">
        <v>381</v>
      </c>
      <c r="R7" t="s">
        <v>153</v>
      </c>
      <c r="S7" t="s">
        <v>158</v>
      </c>
      <c r="T7">
        <v>6</v>
      </c>
      <c r="U7" s="15">
        <v>0</v>
      </c>
      <c r="V7" s="15" t="str">
        <f t="shared" si="1"/>
        <v>DeviceStatus</v>
      </c>
      <c r="W7" s="7" t="str">
        <f t="shared" si="2"/>
        <v>DeviceStatus</v>
      </c>
      <c r="X7" s="7" t="str">
        <f>"GET/HEAD: "&amp;VLOOKUP(D7,MODE!A:D,2,FALSE)&amp;", "&amp;E$1&amp;": "&amp;VLOOKUP(E7,MODE!A:D,2,FALSE)&amp;", "&amp;F$1&amp;": "&amp;VLOOKUP(F7,MODE!A:D,2,FALSE)&amp;", "&amp;G$1&amp;": "&amp;VLOOKUP(G7,MODE!A:D,2,FALSE)</f>
        <v>GET/HEAD: Mandatory, PUT: Mandatory, POST: Error, DELETE: Optional</v>
      </c>
      <c r="Y7" s="7" t="b">
        <f t="shared" si="3"/>
        <v>0</v>
      </c>
      <c r="Z7" s="7" t="b">
        <f t="shared" si="4"/>
        <v>0</v>
      </c>
    </row>
    <row r="8" spans="1:26">
      <c r="A8">
        <v>7</v>
      </c>
      <c r="B8" t="s">
        <v>208</v>
      </c>
      <c r="C8" t="str">
        <f t="shared" si="0"/>
        <v>/edev/{id1}/fsa</v>
      </c>
      <c r="D8" s="9" t="s">
        <v>171</v>
      </c>
      <c r="E8" s="9" t="s">
        <v>174</v>
      </c>
      <c r="F8" s="9" t="s">
        <v>172</v>
      </c>
      <c r="G8" s="22" t="s">
        <v>174</v>
      </c>
      <c r="I8" s="13" t="s">
        <v>207</v>
      </c>
      <c r="J8">
        <v>4</v>
      </c>
      <c r="K8" s="13">
        <v>1</v>
      </c>
      <c r="L8" s="13">
        <v>0</v>
      </c>
      <c r="M8" s="13">
        <v>0</v>
      </c>
      <c r="N8" s="13">
        <v>0</v>
      </c>
      <c r="O8" s="13">
        <v>1</v>
      </c>
      <c r="P8" t="s">
        <v>234</v>
      </c>
      <c r="R8" t="s">
        <v>153</v>
      </c>
      <c r="S8" t="s">
        <v>224</v>
      </c>
      <c r="T8">
        <v>7</v>
      </c>
      <c r="U8" s="15">
        <v>0</v>
      </c>
      <c r="V8" s="15" t="str">
        <f t="shared" si="1"/>
        <v>FunctionSetAssignments</v>
      </c>
      <c r="W8" s="7" t="str">
        <f t="shared" si="2"/>
        <v>FunctionSetAssignmentsList</v>
      </c>
      <c r="X8" s="7" t="str">
        <f>"GET/HEAD: "&amp;VLOOKUP(D8,MODE!A:D,2,FALSE)&amp;", "&amp;E$1&amp;": "&amp;VLOOKUP(E8,MODE!A:D,2,FALSE)&amp;", "&amp;F$1&amp;": "&amp;VLOOKUP(F8,MODE!A:D,2,FALSE)&amp;", "&amp;G$1&amp;": "&amp;VLOOKUP(G8,MODE!A:D,2,FALSE)</f>
        <v>GET/HEAD: Mandatory, PUT: Error, POST: Discouraged, DELETE: Error</v>
      </c>
      <c r="Y8" s="7" t="b">
        <f t="shared" si="3"/>
        <v>0</v>
      </c>
      <c r="Z8" s="7" t="b">
        <f t="shared" si="4"/>
        <v>1</v>
      </c>
    </row>
    <row r="9" spans="1:26">
      <c r="A9">
        <v>8</v>
      </c>
      <c r="B9" t="s">
        <v>209</v>
      </c>
      <c r="C9" t="str">
        <f t="shared" si="0"/>
        <v>/edev/{id1}/fsa/{id2}</v>
      </c>
      <c r="D9" s="9" t="s">
        <v>171</v>
      </c>
      <c r="E9" s="9" t="s">
        <v>174</v>
      </c>
      <c r="F9" s="9" t="s">
        <v>174</v>
      </c>
      <c r="G9" s="22" t="s">
        <v>172</v>
      </c>
      <c r="I9" s="13" t="s">
        <v>274</v>
      </c>
      <c r="J9">
        <v>7</v>
      </c>
      <c r="K9" s="13">
        <v>0</v>
      </c>
      <c r="L9" s="13">
        <v>0</v>
      </c>
      <c r="M9" s="13">
        <v>1</v>
      </c>
      <c r="N9" s="13">
        <v>0</v>
      </c>
      <c r="O9" s="13">
        <v>2</v>
      </c>
      <c r="P9" t="s">
        <v>235</v>
      </c>
      <c r="R9" t="s">
        <v>153</v>
      </c>
      <c r="S9" t="s">
        <v>224</v>
      </c>
      <c r="T9">
        <v>8</v>
      </c>
      <c r="U9" s="15">
        <v>0</v>
      </c>
      <c r="V9" s="15" t="str">
        <f t="shared" si="1"/>
        <v>FunctionSetAssignments</v>
      </c>
      <c r="W9" s="7" t="str">
        <f t="shared" si="2"/>
        <v>FunctionSetAssignments</v>
      </c>
      <c r="X9" s="7" t="str">
        <f>"GET/HEAD: "&amp;VLOOKUP(D9,MODE!A:D,2,FALSE)&amp;", "&amp;E$1&amp;": "&amp;VLOOKUP(E9,MODE!A:D,2,FALSE)&amp;", "&amp;F$1&amp;": "&amp;VLOOKUP(F9,MODE!A:D,2,FALSE)&amp;", "&amp;G$1&amp;": "&amp;VLOOKUP(G9,MODE!A:D,2,FALSE)</f>
        <v>GET/HEAD: Mandatory, PUT: Error, POST: Error, DELETE: Discouraged</v>
      </c>
      <c r="Y9" s="7" t="b">
        <f t="shared" si="3"/>
        <v>0</v>
      </c>
      <c r="Z9" s="7" t="b">
        <f t="shared" si="4"/>
        <v>0</v>
      </c>
    </row>
    <row r="10" spans="1:26">
      <c r="A10">
        <v>9</v>
      </c>
      <c r="B10" t="s">
        <v>8</v>
      </c>
      <c r="C10" t="str">
        <f t="shared" si="0"/>
        <v>/edev/{id1}/sub</v>
      </c>
      <c r="D10" s="9" t="s">
        <v>171</v>
      </c>
      <c r="E10" s="9" t="s">
        <v>174</v>
      </c>
      <c r="F10" s="9" t="s">
        <v>171</v>
      </c>
      <c r="G10" s="22" t="s">
        <v>174</v>
      </c>
      <c r="I10" s="13" t="s">
        <v>54</v>
      </c>
      <c r="J10">
        <v>4</v>
      </c>
      <c r="K10" s="13">
        <v>1</v>
      </c>
      <c r="L10" s="13">
        <v>0</v>
      </c>
      <c r="M10" s="13">
        <v>0</v>
      </c>
      <c r="N10" s="13">
        <v>0</v>
      </c>
      <c r="O10" s="13">
        <v>1</v>
      </c>
      <c r="P10" t="s">
        <v>302</v>
      </c>
      <c r="R10" t="s">
        <v>153</v>
      </c>
      <c r="S10" t="s">
        <v>301</v>
      </c>
      <c r="T10">
        <v>9</v>
      </c>
      <c r="U10" s="15">
        <v>0</v>
      </c>
      <c r="V10" s="15" t="str">
        <f t="shared" si="1"/>
        <v>Subscription</v>
      </c>
      <c r="W10" s="7" t="str">
        <f t="shared" si="2"/>
        <v>SubscriptionList</v>
      </c>
      <c r="X10" s="7" t="str">
        <f>"GET/HEAD: "&amp;VLOOKUP(D10,MODE!A:D,2,FALSE)&amp;", "&amp;E$1&amp;": "&amp;VLOOKUP(E10,MODE!A:D,2,FALSE)&amp;", "&amp;F$1&amp;": "&amp;VLOOKUP(F10,MODE!A:D,2,FALSE)&amp;", "&amp;G$1&amp;": "&amp;VLOOKUP(G10,MODE!A:D,2,FALSE)</f>
        <v>GET/HEAD: Mandatory, PUT: Error, POST: Mandatory, DELETE: Error</v>
      </c>
      <c r="Y10" s="7" t="b">
        <f t="shared" si="3"/>
        <v>0</v>
      </c>
      <c r="Z10" s="7" t="b">
        <f t="shared" si="4"/>
        <v>1</v>
      </c>
    </row>
    <row r="11" spans="1:26">
      <c r="A11">
        <v>10</v>
      </c>
      <c r="B11" t="s">
        <v>9</v>
      </c>
      <c r="C11" t="str">
        <f t="shared" si="0"/>
        <v>/edev/{id1}/sub/{id2}</v>
      </c>
      <c r="D11" s="9" t="s">
        <v>171</v>
      </c>
      <c r="E11" s="9" t="s">
        <v>171</v>
      </c>
      <c r="F11" s="9" t="s">
        <v>174</v>
      </c>
      <c r="G11" s="22" t="s">
        <v>171</v>
      </c>
      <c r="I11" s="13" t="s">
        <v>274</v>
      </c>
      <c r="J11">
        <v>9</v>
      </c>
      <c r="K11" s="13">
        <v>0</v>
      </c>
      <c r="L11" s="13">
        <v>0</v>
      </c>
      <c r="M11" s="13">
        <v>1</v>
      </c>
      <c r="N11" s="13">
        <v>0</v>
      </c>
      <c r="O11" s="13">
        <v>2</v>
      </c>
      <c r="P11" t="s">
        <v>288</v>
      </c>
      <c r="R11" t="s">
        <v>153</v>
      </c>
      <c r="S11" t="s">
        <v>301</v>
      </c>
      <c r="T11">
        <v>10</v>
      </c>
      <c r="U11" s="15">
        <v>0</v>
      </c>
      <c r="V11" s="15" t="str">
        <f t="shared" si="1"/>
        <v>Subscription</v>
      </c>
      <c r="W11" s="7" t="str">
        <f t="shared" si="2"/>
        <v>Subscription</v>
      </c>
      <c r="X11" s="7" t="str">
        <f>"GET/HEAD: "&amp;VLOOKUP(D11,MODE!A:D,2,FALSE)&amp;", "&amp;E$1&amp;": "&amp;VLOOKUP(E11,MODE!A:D,2,FALSE)&amp;", "&amp;F$1&amp;": "&amp;VLOOKUP(F11,MODE!A:D,2,FALSE)&amp;", "&amp;G$1&amp;": "&amp;VLOOKUP(G11,MODE!A:D,2,FALSE)</f>
        <v>GET/HEAD: Mandatory, PUT: Mandatory, POST: Error, DELETE: Mandatory</v>
      </c>
      <c r="Y11" s="7" t="b">
        <f t="shared" si="3"/>
        <v>0</v>
      </c>
      <c r="Z11" s="7" t="b">
        <f t="shared" si="4"/>
        <v>0</v>
      </c>
    </row>
    <row r="12" spans="1:26">
      <c r="A12">
        <v>11</v>
      </c>
      <c r="B12" t="s">
        <v>94</v>
      </c>
      <c r="C12" t="str">
        <f t="shared" si="0"/>
        <v>/ntfy</v>
      </c>
      <c r="D12" s="9" t="s">
        <v>172</v>
      </c>
      <c r="E12" s="9" t="s">
        <v>174</v>
      </c>
      <c r="F12" s="9" t="s">
        <v>171</v>
      </c>
      <c r="G12" s="22" t="s">
        <v>174</v>
      </c>
      <c r="I12" s="13" t="s">
        <v>78</v>
      </c>
      <c r="J12">
        <v>0</v>
      </c>
      <c r="K12" s="13">
        <v>1</v>
      </c>
      <c r="L12" s="13">
        <v>0</v>
      </c>
      <c r="M12" s="13">
        <v>0</v>
      </c>
      <c r="N12" s="13">
        <v>0</v>
      </c>
      <c r="O12" s="13">
        <v>0</v>
      </c>
      <c r="P12" t="s">
        <v>290</v>
      </c>
      <c r="R12" t="s">
        <v>153</v>
      </c>
      <c r="S12" t="s">
        <v>301</v>
      </c>
      <c r="T12">
        <v>11</v>
      </c>
      <c r="U12" s="15">
        <v>0</v>
      </c>
      <c r="V12" s="15" t="str">
        <f t="shared" si="1"/>
        <v>Notification</v>
      </c>
      <c r="W12" s="7" t="str">
        <f t="shared" si="2"/>
        <v>NotificationList</v>
      </c>
      <c r="X12" s="7" t="str">
        <f>"GET/HEAD: "&amp;VLOOKUP(D12,MODE!A:D,2,FALSE)&amp;", "&amp;E$1&amp;": "&amp;VLOOKUP(E12,MODE!A:D,2,FALSE)&amp;", "&amp;F$1&amp;": "&amp;VLOOKUP(F12,MODE!A:D,2,FALSE)&amp;", "&amp;G$1&amp;": "&amp;VLOOKUP(G12,MODE!A:D,2,FALSE)</f>
        <v>GET/HEAD: Discouraged, PUT: Error, POST: Mandatory, DELETE: Error</v>
      </c>
      <c r="Y12" s="7" t="b">
        <f t="shared" si="3"/>
        <v>0</v>
      </c>
      <c r="Z12" s="7" t="b">
        <f t="shared" si="4"/>
        <v>0</v>
      </c>
    </row>
    <row r="13" spans="1:26">
      <c r="A13">
        <v>12</v>
      </c>
      <c r="B13" t="s">
        <v>10</v>
      </c>
      <c r="C13" t="str">
        <f t="shared" si="0"/>
        <v>/ntfy/{id1}</v>
      </c>
      <c r="D13" s="22" t="s">
        <v>172</v>
      </c>
      <c r="E13" s="22" t="s">
        <v>174</v>
      </c>
      <c r="F13" s="22" t="s">
        <v>174</v>
      </c>
      <c r="G13" s="22" t="s">
        <v>174</v>
      </c>
      <c r="I13" s="13" t="s">
        <v>273</v>
      </c>
      <c r="J13">
        <v>11</v>
      </c>
      <c r="K13" s="13">
        <v>0</v>
      </c>
      <c r="L13" s="13">
        <v>0</v>
      </c>
      <c r="M13" s="13">
        <v>1</v>
      </c>
      <c r="N13" s="13">
        <v>0</v>
      </c>
      <c r="O13" s="13">
        <v>1</v>
      </c>
      <c r="P13" t="s">
        <v>289</v>
      </c>
      <c r="R13" t="s">
        <v>153</v>
      </c>
      <c r="S13" t="s">
        <v>301</v>
      </c>
      <c r="T13">
        <v>12</v>
      </c>
      <c r="U13" s="15">
        <v>0</v>
      </c>
      <c r="V13" s="15" t="str">
        <f t="shared" si="1"/>
        <v>Notification</v>
      </c>
      <c r="W13" s="7" t="str">
        <f t="shared" si="2"/>
        <v>Notification</v>
      </c>
      <c r="X13" s="7" t="str">
        <f>"GET/HEAD: "&amp;VLOOKUP(D13,MODE!A:D,2,FALSE)&amp;", "&amp;E$1&amp;": "&amp;VLOOKUP(E13,MODE!A:D,2,FALSE)&amp;", "&amp;F$1&amp;": "&amp;VLOOKUP(F13,MODE!A:D,2,FALSE)&amp;", "&amp;G$1&amp;": "&amp;VLOOKUP(G13,MODE!A:D,2,FALSE)</f>
        <v>GET/HEAD: Discouraged, PUT: Error, POST: Error, DELETE: Error</v>
      </c>
      <c r="Y13" s="7" t="b">
        <f t="shared" si="3"/>
        <v>0</v>
      </c>
      <c r="Z13" s="7" t="b">
        <f t="shared" si="4"/>
        <v>0</v>
      </c>
    </row>
    <row r="14" spans="1:26">
      <c r="A14">
        <v>13</v>
      </c>
      <c r="B14" t="s">
        <v>254</v>
      </c>
      <c r="C14" t="str">
        <f t="shared" si="0"/>
        <v>/rsps</v>
      </c>
      <c r="D14" s="22" t="s">
        <v>173</v>
      </c>
      <c r="E14" s="22" t="s">
        <v>174</v>
      </c>
      <c r="F14" s="22" t="s">
        <v>172</v>
      </c>
      <c r="G14" s="22" t="s">
        <v>174</v>
      </c>
      <c r="I14" s="13" t="s">
        <v>272</v>
      </c>
      <c r="J14">
        <v>0</v>
      </c>
      <c r="K14" s="13">
        <v>1</v>
      </c>
      <c r="L14" s="13">
        <v>0</v>
      </c>
      <c r="M14" s="13">
        <v>0</v>
      </c>
      <c r="N14" s="13">
        <v>0</v>
      </c>
      <c r="O14" s="13">
        <v>0</v>
      </c>
      <c r="P14" t="s">
        <v>256</v>
      </c>
      <c r="R14" t="s">
        <v>153</v>
      </c>
      <c r="S14" t="s">
        <v>28</v>
      </c>
      <c r="T14">
        <v>13</v>
      </c>
      <c r="U14" s="15">
        <v>0</v>
      </c>
      <c r="V14" s="15" t="str">
        <f t="shared" si="1"/>
        <v>ResponseSet</v>
      </c>
      <c r="W14" s="7" t="str">
        <f t="shared" si="2"/>
        <v>ResponseSetList</v>
      </c>
      <c r="X14" s="7" t="str">
        <f>"GET/HEAD: "&amp;VLOOKUP(D14,MODE!A:D,2,FALSE)&amp;", "&amp;E$1&amp;": "&amp;VLOOKUP(E14,MODE!A:D,2,FALSE)&amp;", "&amp;F$1&amp;": "&amp;VLOOKUP(F14,MODE!A:D,2,FALSE)&amp;", "&amp;G$1&amp;": "&amp;VLOOKUP(G14,MODE!A:D,2,FALSE)</f>
        <v>GET/HEAD: Optional, PUT: Error, POST: Discouraged, DELETE: Error</v>
      </c>
      <c r="Y14" s="7" t="b">
        <f t="shared" si="3"/>
        <v>0</v>
      </c>
      <c r="Z14" s="7" t="b">
        <f t="shared" si="4"/>
        <v>1</v>
      </c>
    </row>
    <row r="15" spans="1:26">
      <c r="A15">
        <v>14</v>
      </c>
      <c r="B15" t="s">
        <v>255</v>
      </c>
      <c r="C15" t="str">
        <f t="shared" si="0"/>
        <v>/rsps/{id1}</v>
      </c>
      <c r="D15" s="22" t="s">
        <v>173</v>
      </c>
      <c r="E15" s="9" t="s">
        <v>174</v>
      </c>
      <c r="F15" s="22" t="s">
        <v>174</v>
      </c>
      <c r="G15" s="22" t="s">
        <v>172</v>
      </c>
      <c r="I15" s="13" t="s">
        <v>273</v>
      </c>
      <c r="J15">
        <v>13</v>
      </c>
      <c r="K15" s="13">
        <v>0</v>
      </c>
      <c r="L15" s="13">
        <v>0</v>
      </c>
      <c r="M15" s="13">
        <v>1</v>
      </c>
      <c r="N15" s="13">
        <v>1</v>
      </c>
      <c r="O15" s="13">
        <v>1</v>
      </c>
      <c r="P15" t="s">
        <v>257</v>
      </c>
      <c r="R15" t="s">
        <v>153</v>
      </c>
      <c r="S15" t="s">
        <v>28</v>
      </c>
      <c r="T15">
        <v>14</v>
      </c>
      <c r="U15" s="15">
        <v>0</v>
      </c>
      <c r="V15" s="15" t="str">
        <f t="shared" si="1"/>
        <v>ResponseSet</v>
      </c>
      <c r="W15" s="7" t="str">
        <f t="shared" si="2"/>
        <v>ResponseSet</v>
      </c>
      <c r="X15" s="7" t="str">
        <f>"GET/HEAD: "&amp;VLOOKUP(D15,MODE!A:D,2,FALSE)&amp;", "&amp;E$1&amp;": "&amp;VLOOKUP(E15,MODE!A:D,2,FALSE)&amp;", "&amp;F$1&amp;": "&amp;VLOOKUP(F15,MODE!A:D,2,FALSE)&amp;", "&amp;G$1&amp;": "&amp;VLOOKUP(G15,MODE!A:D,2,FALSE)</f>
        <v>GET/HEAD: Optional, PUT: Error, POST: Error, DELETE: Discouraged</v>
      </c>
      <c r="Y15" s="7" t="b">
        <f t="shared" si="3"/>
        <v>0</v>
      </c>
      <c r="Z15" s="7" t="b">
        <f t="shared" si="4"/>
        <v>0</v>
      </c>
    </row>
    <row r="16" spans="1:26">
      <c r="A16">
        <v>15</v>
      </c>
      <c r="B16" t="s">
        <v>29</v>
      </c>
      <c r="C16" t="str">
        <f t="shared" si="0"/>
        <v>/rsps/{id1}/rsp</v>
      </c>
      <c r="D16" s="22" t="s">
        <v>173</v>
      </c>
      <c r="E16" s="22" t="s">
        <v>174</v>
      </c>
      <c r="F16" s="22" t="s">
        <v>171</v>
      </c>
      <c r="G16" s="22" t="s">
        <v>174</v>
      </c>
      <c r="H16" s="16"/>
      <c r="I16" s="13" t="s">
        <v>57</v>
      </c>
      <c r="J16">
        <v>14</v>
      </c>
      <c r="K16" s="13">
        <v>1</v>
      </c>
      <c r="L16" s="13">
        <v>0</v>
      </c>
      <c r="M16" s="13">
        <v>0</v>
      </c>
      <c r="N16" s="13">
        <v>0</v>
      </c>
      <c r="O16" s="13">
        <v>1</v>
      </c>
      <c r="P16" t="s">
        <v>265</v>
      </c>
      <c r="R16" t="s">
        <v>153</v>
      </c>
      <c r="S16" t="s">
        <v>28</v>
      </c>
      <c r="T16">
        <v>15</v>
      </c>
      <c r="U16" s="15">
        <v>0</v>
      </c>
      <c r="V16" s="15" t="str">
        <f t="shared" si="1"/>
        <v>Response</v>
      </c>
      <c r="W16" s="7" t="str">
        <f t="shared" si="2"/>
        <v>ResponseList</v>
      </c>
      <c r="X16" s="7" t="str">
        <f>"GET/HEAD: "&amp;VLOOKUP(D16,MODE!A:D,2,FALSE)&amp;", "&amp;E$1&amp;": "&amp;VLOOKUP(E16,MODE!A:D,2,FALSE)&amp;", "&amp;F$1&amp;": "&amp;VLOOKUP(F16,MODE!A:D,2,FALSE)&amp;", "&amp;G$1&amp;": "&amp;VLOOKUP(G16,MODE!A:D,2,FALSE)</f>
        <v>GET/HEAD: Optional, PUT: Error, POST: Mandatory, DELETE: Error</v>
      </c>
      <c r="Y16" s="7" t="b">
        <f t="shared" si="3"/>
        <v>0</v>
      </c>
      <c r="Z16" s="7" t="b">
        <f t="shared" si="4"/>
        <v>0</v>
      </c>
    </row>
    <row r="17" spans="1:26">
      <c r="A17">
        <v>16</v>
      </c>
      <c r="B17" t="s">
        <v>28</v>
      </c>
      <c r="C17" t="str">
        <f t="shared" si="0"/>
        <v>/rsps/{id1}/rsp/{id2}</v>
      </c>
      <c r="D17" s="22" t="s">
        <v>173</v>
      </c>
      <c r="E17" s="22" t="s">
        <v>174</v>
      </c>
      <c r="F17" s="22" t="s">
        <v>174</v>
      </c>
      <c r="G17" s="22" t="s">
        <v>173</v>
      </c>
      <c r="H17" s="16"/>
      <c r="I17" s="13" t="s">
        <v>274</v>
      </c>
      <c r="J17">
        <v>15</v>
      </c>
      <c r="K17" s="13">
        <v>0</v>
      </c>
      <c r="L17" s="13">
        <v>0</v>
      </c>
      <c r="M17" s="13">
        <v>1</v>
      </c>
      <c r="N17" s="13">
        <v>0</v>
      </c>
      <c r="O17" s="13">
        <v>2</v>
      </c>
      <c r="P17" t="s">
        <v>266</v>
      </c>
      <c r="R17" t="s">
        <v>153</v>
      </c>
      <c r="S17" t="s">
        <v>28</v>
      </c>
      <c r="T17">
        <v>16</v>
      </c>
      <c r="U17" s="15">
        <v>0</v>
      </c>
      <c r="V17" s="15" t="str">
        <f t="shared" si="1"/>
        <v>Response</v>
      </c>
      <c r="W17" s="7" t="str">
        <f t="shared" si="2"/>
        <v>Response</v>
      </c>
      <c r="X17" s="7" t="str">
        <f>"GET/HEAD: "&amp;VLOOKUP(D17,MODE!A:D,2,FALSE)&amp;", "&amp;E$1&amp;": "&amp;VLOOKUP(E17,MODE!A:D,2,FALSE)&amp;", "&amp;F$1&amp;": "&amp;VLOOKUP(F17,MODE!A:D,2,FALSE)&amp;", "&amp;G$1&amp;": "&amp;VLOOKUP(G17,MODE!A:D,2,FALSE)</f>
        <v>GET/HEAD: Optional, PUT: Error, POST: Error, DELETE: Optional</v>
      </c>
      <c r="Y17" s="7" t="b">
        <f t="shared" si="3"/>
        <v>0</v>
      </c>
      <c r="Z17" s="7" t="b">
        <f t="shared" si="4"/>
        <v>0</v>
      </c>
    </row>
    <row r="18" spans="1:26">
      <c r="A18">
        <v>17</v>
      </c>
      <c r="B18" t="s">
        <v>322</v>
      </c>
      <c r="C18" t="str">
        <f t="shared" si="0"/>
        <v>/rsps/{id1}/rsp/{id2}</v>
      </c>
      <c r="D18" s="22" t="s">
        <v>173</v>
      </c>
      <c r="E18" s="22" t="s">
        <v>174</v>
      </c>
      <c r="F18" s="22" t="s">
        <v>174</v>
      </c>
      <c r="G18" s="22" t="s">
        <v>173</v>
      </c>
      <c r="H18" s="16"/>
      <c r="I18" s="13" t="s">
        <v>274</v>
      </c>
      <c r="J18">
        <v>15</v>
      </c>
      <c r="K18" s="13">
        <v>0</v>
      </c>
      <c r="L18" s="13">
        <v>0</v>
      </c>
      <c r="M18" s="13">
        <v>1</v>
      </c>
      <c r="N18" s="13">
        <v>0</v>
      </c>
      <c r="O18" s="13">
        <v>2</v>
      </c>
      <c r="P18" t="s">
        <v>324</v>
      </c>
      <c r="R18" t="s">
        <v>153</v>
      </c>
      <c r="S18" t="s">
        <v>28</v>
      </c>
      <c r="T18">
        <v>17</v>
      </c>
      <c r="U18" s="15">
        <v>0</v>
      </c>
      <c r="V18" s="15" t="str">
        <f t="shared" si="1"/>
        <v>PriceResponse</v>
      </c>
      <c r="W18" s="7" t="str">
        <f t="shared" si="2"/>
        <v>PriceResponse</v>
      </c>
      <c r="X18" s="7" t="str">
        <f>"GET/HEAD: "&amp;VLOOKUP(D18,MODE!A:D,2,FALSE)&amp;", "&amp;E$1&amp;": "&amp;VLOOKUP(E18,MODE!A:D,2,FALSE)&amp;", "&amp;F$1&amp;": "&amp;VLOOKUP(F18,MODE!A:D,2,FALSE)&amp;", "&amp;G$1&amp;": "&amp;VLOOKUP(G18,MODE!A:D,2,FALSE)</f>
        <v>GET/HEAD: Optional, PUT: Error, POST: Error, DELETE: Optional</v>
      </c>
      <c r="Y18" s="7" t="b">
        <f t="shared" ref="Y18:Y81" si="5">NOT(R18=R17)</f>
        <v>0</v>
      </c>
      <c r="Z18" s="7" t="b">
        <f t="shared" ref="Z18:Z81" si="6">NOT(S18=S17)</f>
        <v>0</v>
      </c>
    </row>
    <row r="19" spans="1:26">
      <c r="A19">
        <v>18</v>
      </c>
      <c r="B19" t="s">
        <v>323</v>
      </c>
      <c r="C19" t="str">
        <f t="shared" si="0"/>
        <v>/rsps/{id1}/rsp/{id2}</v>
      </c>
      <c r="D19" s="9" t="s">
        <v>173</v>
      </c>
      <c r="E19" s="22" t="s">
        <v>174</v>
      </c>
      <c r="F19" s="9" t="s">
        <v>174</v>
      </c>
      <c r="G19" s="9" t="s">
        <v>173</v>
      </c>
      <c r="I19" s="13" t="s">
        <v>274</v>
      </c>
      <c r="J19">
        <v>15</v>
      </c>
      <c r="K19" s="13">
        <v>0</v>
      </c>
      <c r="L19" s="13">
        <v>0</v>
      </c>
      <c r="M19" s="13">
        <v>1</v>
      </c>
      <c r="N19" s="13">
        <v>0</v>
      </c>
      <c r="O19" s="13">
        <v>2</v>
      </c>
      <c r="P19" t="s">
        <v>325</v>
      </c>
      <c r="R19" t="s">
        <v>153</v>
      </c>
      <c r="S19" t="s">
        <v>28</v>
      </c>
      <c r="T19">
        <v>18</v>
      </c>
      <c r="U19" s="15">
        <v>0</v>
      </c>
      <c r="V19" s="15" t="str">
        <f t="shared" si="1"/>
        <v>TextResponse</v>
      </c>
      <c r="W19" s="7" t="str">
        <f t="shared" si="2"/>
        <v>TextResponse</v>
      </c>
      <c r="X19" s="7" t="str">
        <f>"GET/HEAD: "&amp;VLOOKUP(D19,MODE!A:D,2,FALSE)&amp;", "&amp;E$1&amp;": "&amp;VLOOKUP(E19,MODE!A:D,2,FALSE)&amp;", "&amp;F$1&amp;": "&amp;VLOOKUP(F19,MODE!A:D,2,FALSE)&amp;", "&amp;G$1&amp;": "&amp;VLOOKUP(G19,MODE!A:D,2,FALSE)</f>
        <v>GET/HEAD: Optional, PUT: Error, POST: Error, DELETE: Optional</v>
      </c>
      <c r="Y19" s="7" t="b">
        <f t="shared" si="5"/>
        <v>0</v>
      </c>
      <c r="Z19" s="7" t="b">
        <f t="shared" si="6"/>
        <v>0</v>
      </c>
    </row>
    <row r="20" spans="1:26">
      <c r="A20">
        <v>127</v>
      </c>
      <c r="B20" t="s">
        <v>400</v>
      </c>
      <c r="C20" t="str">
        <f t="shared" si="0"/>
        <v>/rsps/{id1}/rsp/{id2}</v>
      </c>
      <c r="D20" s="9" t="s">
        <v>173</v>
      </c>
      <c r="E20" s="22" t="s">
        <v>174</v>
      </c>
      <c r="F20" s="9" t="s">
        <v>174</v>
      </c>
      <c r="G20" s="9" t="s">
        <v>173</v>
      </c>
      <c r="I20" s="13" t="s">
        <v>274</v>
      </c>
      <c r="J20">
        <v>15</v>
      </c>
      <c r="K20" s="13">
        <v>0</v>
      </c>
      <c r="L20" s="13">
        <v>0</v>
      </c>
      <c r="M20" s="13">
        <v>1</v>
      </c>
      <c r="N20" s="13">
        <v>0</v>
      </c>
      <c r="O20" s="13">
        <v>2</v>
      </c>
      <c r="P20" t="s">
        <v>402</v>
      </c>
      <c r="R20" t="s">
        <v>153</v>
      </c>
      <c r="S20" t="s">
        <v>28</v>
      </c>
      <c r="T20">
        <v>19</v>
      </c>
      <c r="U20" s="15">
        <v>0</v>
      </c>
      <c r="V20" s="15" t="str">
        <f t="shared" si="1"/>
        <v>DERControlResponse</v>
      </c>
      <c r="W20" s="7" t="str">
        <f t="shared" si="2"/>
        <v>DERControlResponse</v>
      </c>
      <c r="X20" s="7" t="str">
        <f>"GET/HEAD: "&amp;VLOOKUP(D20,MODE!A:D,2,FALSE)&amp;", "&amp;E$1&amp;": "&amp;VLOOKUP(E20,MODE!A:D,2,FALSE)&amp;", "&amp;F$1&amp;": "&amp;VLOOKUP(F20,MODE!A:D,2,FALSE)&amp;", "&amp;G$1&amp;": "&amp;VLOOKUP(G20,MODE!A:D,2,FALSE)</f>
        <v>GET/HEAD: Optional, PUT: Error, POST: Error, DELETE: Optional</v>
      </c>
      <c r="Y20" s="7" t="b">
        <f t="shared" si="5"/>
        <v>0</v>
      </c>
      <c r="Z20" s="7" t="b">
        <f t="shared" si="6"/>
        <v>0</v>
      </c>
    </row>
    <row r="21" spans="1:26">
      <c r="A21">
        <v>128</v>
      </c>
      <c r="B21" t="s">
        <v>401</v>
      </c>
      <c r="C21" t="str">
        <f t="shared" si="0"/>
        <v>/rsps/{id1}/rsp/{id2}</v>
      </c>
      <c r="D21" s="9" t="s">
        <v>173</v>
      </c>
      <c r="E21" s="22" t="s">
        <v>174</v>
      </c>
      <c r="F21" s="9" t="s">
        <v>174</v>
      </c>
      <c r="G21" s="9" t="s">
        <v>173</v>
      </c>
      <c r="I21" s="13" t="s">
        <v>274</v>
      </c>
      <c r="J21">
        <v>15</v>
      </c>
      <c r="K21" s="13">
        <v>0</v>
      </c>
      <c r="L21" s="13">
        <v>0</v>
      </c>
      <c r="M21" s="13">
        <v>1</v>
      </c>
      <c r="N21" s="13">
        <v>0</v>
      </c>
      <c r="O21" s="13">
        <v>2</v>
      </c>
      <c r="P21" t="s">
        <v>403</v>
      </c>
      <c r="R21" t="s">
        <v>153</v>
      </c>
      <c r="S21" t="s">
        <v>28</v>
      </c>
      <c r="T21">
        <v>20</v>
      </c>
      <c r="U21" s="15">
        <v>0</v>
      </c>
      <c r="V21" s="15" t="str">
        <f t="shared" si="1"/>
        <v>FlowReservationResponseResponse</v>
      </c>
      <c r="W21" s="7" t="str">
        <f t="shared" si="2"/>
        <v>FlowReservationResponseResponse</v>
      </c>
      <c r="X21" s="7" t="str">
        <f>"GET/HEAD: "&amp;VLOOKUP(D21,MODE!A:D,2,FALSE)&amp;", "&amp;E$1&amp;": "&amp;VLOOKUP(E21,MODE!A:D,2,FALSE)&amp;", "&amp;F$1&amp;": "&amp;VLOOKUP(F21,MODE!A:D,2,FALSE)&amp;", "&amp;G$1&amp;": "&amp;VLOOKUP(G21,MODE!A:D,2,FALSE)</f>
        <v>GET/HEAD: Optional, PUT: Error, POST: Error, DELETE: Optional</v>
      </c>
      <c r="Y21" s="7" t="b">
        <f t="shared" si="5"/>
        <v>0</v>
      </c>
      <c r="Z21" s="7" t="b">
        <f t="shared" si="6"/>
        <v>0</v>
      </c>
    </row>
    <row r="22" spans="1:26">
      <c r="A22">
        <v>20</v>
      </c>
      <c r="B22" t="s">
        <v>30</v>
      </c>
      <c r="C22" t="str">
        <f t="shared" si="0"/>
        <v>/rsps/{id1}/rsp/{id2}</v>
      </c>
      <c r="D22" s="9" t="s">
        <v>173</v>
      </c>
      <c r="E22" s="22" t="s">
        <v>174</v>
      </c>
      <c r="F22" s="9" t="s">
        <v>174</v>
      </c>
      <c r="G22" s="9" t="s">
        <v>173</v>
      </c>
      <c r="I22" s="13" t="s">
        <v>274</v>
      </c>
      <c r="J22">
        <v>15</v>
      </c>
      <c r="K22" s="13">
        <v>0</v>
      </c>
      <c r="L22" s="13">
        <v>0</v>
      </c>
      <c r="M22" s="13">
        <v>1</v>
      </c>
      <c r="N22" s="13">
        <v>0</v>
      </c>
      <c r="O22" s="13">
        <v>2</v>
      </c>
      <c r="P22" t="s">
        <v>236</v>
      </c>
      <c r="R22" t="s">
        <v>153</v>
      </c>
      <c r="S22" t="s">
        <v>28</v>
      </c>
      <c r="T22">
        <v>21</v>
      </c>
      <c r="U22" s="15">
        <v>0</v>
      </c>
      <c r="V22" s="15" t="str">
        <f t="shared" si="1"/>
        <v>DrResponse</v>
      </c>
      <c r="W22" s="7" t="str">
        <f t="shared" si="2"/>
        <v>DrResponse</v>
      </c>
      <c r="X22" s="7" t="str">
        <f>"GET/HEAD: "&amp;VLOOKUP(D22,MODE!A:D,2,FALSE)&amp;", "&amp;E$1&amp;": "&amp;VLOOKUP(E22,MODE!A:D,2,FALSE)&amp;", "&amp;F$1&amp;": "&amp;VLOOKUP(F22,MODE!A:D,2,FALSE)&amp;", "&amp;G$1&amp;": "&amp;VLOOKUP(G22,MODE!A:D,2,FALSE)</f>
        <v>GET/HEAD: Optional, PUT: Error, POST: Error, DELETE: Optional</v>
      </c>
      <c r="Y22" s="7" t="b">
        <f t="shared" si="5"/>
        <v>0</v>
      </c>
      <c r="Z22" s="7" t="b">
        <f t="shared" si="6"/>
        <v>0</v>
      </c>
    </row>
    <row r="23" spans="1:26">
      <c r="A23">
        <v>21</v>
      </c>
      <c r="B23" t="s">
        <v>106</v>
      </c>
      <c r="C23" t="str">
        <f t="shared" si="0"/>
        <v>/tm</v>
      </c>
      <c r="D23" s="9" t="s">
        <v>171</v>
      </c>
      <c r="E23" s="9" t="s">
        <v>172</v>
      </c>
      <c r="F23" s="9" t="s">
        <v>174</v>
      </c>
      <c r="G23" s="22" t="s">
        <v>174</v>
      </c>
      <c r="I23" s="13" t="s">
        <v>113</v>
      </c>
      <c r="J2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t="s">
        <v>253</v>
      </c>
      <c r="R23" t="s">
        <v>154</v>
      </c>
      <c r="S23" t="s">
        <v>106</v>
      </c>
      <c r="T23">
        <v>22</v>
      </c>
      <c r="U23" s="15">
        <v>0</v>
      </c>
      <c r="V23" s="15" t="str">
        <f t="shared" si="1"/>
        <v>Time</v>
      </c>
      <c r="W23" s="7" t="str">
        <f t="shared" si="2"/>
        <v>Time</v>
      </c>
      <c r="X23" s="7" t="str">
        <f>"GET/HEAD: "&amp;VLOOKUP(D23,MODE!A:D,2,FALSE)&amp;", "&amp;E$1&amp;": "&amp;VLOOKUP(E23,MODE!A:D,2,FALSE)&amp;", "&amp;F$1&amp;": "&amp;VLOOKUP(F23,MODE!A:D,2,FALSE)&amp;", "&amp;G$1&amp;": "&amp;VLOOKUP(G23,MODE!A:D,2,FALSE)</f>
        <v>GET/HEAD: Mandatory, PUT: Discouraged, POST: Error, DELETE: Error</v>
      </c>
      <c r="Y23" s="7" t="b">
        <f t="shared" si="5"/>
        <v>1</v>
      </c>
      <c r="Z23" s="7" t="b">
        <f t="shared" si="6"/>
        <v>1</v>
      </c>
    </row>
    <row r="24" spans="1:26">
      <c r="A24">
        <v>22</v>
      </c>
      <c r="B24" t="s">
        <v>87</v>
      </c>
      <c r="C24" t="str">
        <f t="shared" si="0"/>
        <v>/edev/{id1}/di</v>
      </c>
      <c r="D24" s="9" t="s">
        <v>171</v>
      </c>
      <c r="E24" s="9" t="s">
        <v>171</v>
      </c>
      <c r="F24" s="9" t="s">
        <v>174</v>
      </c>
      <c r="G24" s="22" t="s">
        <v>173</v>
      </c>
      <c r="I24" s="13" t="s">
        <v>206</v>
      </c>
      <c r="J24">
        <v>4</v>
      </c>
      <c r="K24" s="13">
        <v>0</v>
      </c>
      <c r="L24" s="13">
        <v>0</v>
      </c>
      <c r="M24" s="13">
        <v>0</v>
      </c>
      <c r="N24" s="13">
        <v>0</v>
      </c>
      <c r="O24" s="13">
        <v>1</v>
      </c>
      <c r="P24" t="s">
        <v>380</v>
      </c>
      <c r="R24" t="s">
        <v>154</v>
      </c>
      <c r="S24" t="s">
        <v>159</v>
      </c>
      <c r="T24">
        <v>23</v>
      </c>
      <c r="U24" s="15">
        <v>0</v>
      </c>
      <c r="V24" s="15" t="str">
        <f t="shared" si="1"/>
        <v>DeviceInformation</v>
      </c>
      <c r="W24" s="7" t="str">
        <f t="shared" si="2"/>
        <v>DeviceInformation</v>
      </c>
      <c r="X24" s="7" t="str">
        <f>"GET/HEAD: "&amp;VLOOKUP(D24,MODE!A:D,2,FALSE)&amp;", "&amp;E$1&amp;": "&amp;VLOOKUP(E24,MODE!A:D,2,FALSE)&amp;", "&amp;F$1&amp;": "&amp;VLOOKUP(F24,MODE!A:D,2,FALSE)&amp;", "&amp;G$1&amp;": "&amp;VLOOKUP(G24,MODE!A:D,2,FALSE)</f>
        <v>GET/HEAD: Mandatory, PUT: Mandatory, POST: Error, DELETE: Optional</v>
      </c>
      <c r="Y24" s="7" t="b">
        <f t="shared" si="5"/>
        <v>0</v>
      </c>
      <c r="Z24" s="7" t="b">
        <f t="shared" si="6"/>
        <v>1</v>
      </c>
    </row>
    <row r="25" spans="1:26">
      <c r="A25">
        <v>23</v>
      </c>
      <c r="B25" s="5" t="s">
        <v>354</v>
      </c>
      <c r="C25" t="str">
        <f t="shared" si="0"/>
        <v>/edev/{id1}/di/loc</v>
      </c>
      <c r="D25" s="9" t="s">
        <v>171</v>
      </c>
      <c r="E25" s="9" t="s">
        <v>174</v>
      </c>
      <c r="F25" s="9" t="s">
        <v>171</v>
      </c>
      <c r="G25" s="22" t="s">
        <v>174</v>
      </c>
      <c r="I25" s="13" t="s">
        <v>355</v>
      </c>
      <c r="J25">
        <v>22</v>
      </c>
      <c r="K25" s="13">
        <v>1</v>
      </c>
      <c r="L25" s="13">
        <v>0</v>
      </c>
      <c r="M25" s="13">
        <v>0</v>
      </c>
      <c r="N25" s="13">
        <v>0</v>
      </c>
      <c r="O25" s="13">
        <v>1</v>
      </c>
      <c r="P25" t="s">
        <v>385</v>
      </c>
      <c r="R25" t="s">
        <v>154</v>
      </c>
      <c r="S25" t="s">
        <v>159</v>
      </c>
      <c r="T25">
        <v>24</v>
      </c>
      <c r="U25" s="15">
        <v>0</v>
      </c>
      <c r="V25" s="15" t="str">
        <f t="shared" si="1"/>
        <v>SupportedLocale</v>
      </c>
      <c r="W25" s="7" t="str">
        <f t="shared" si="2"/>
        <v>SupportedLocaleList</v>
      </c>
      <c r="X25" s="7" t="str">
        <f>"GET/HEAD: "&amp;VLOOKUP(D25,MODE!A:D,2,FALSE)&amp;", "&amp;E$1&amp;": "&amp;VLOOKUP(E25,MODE!A:D,2,FALSE)&amp;", "&amp;F$1&amp;": "&amp;VLOOKUP(F25,MODE!A:D,2,FALSE)&amp;", "&amp;G$1&amp;": "&amp;VLOOKUP(G25,MODE!A:D,2,FALSE)</f>
        <v>GET/HEAD: Mandatory, PUT: Error, POST: Mandatory, DELETE: Error</v>
      </c>
      <c r="Y25" s="7" t="b">
        <f t="shared" si="5"/>
        <v>0</v>
      </c>
      <c r="Z25" s="7" t="b">
        <f t="shared" si="6"/>
        <v>0</v>
      </c>
    </row>
    <row r="26" spans="1:26">
      <c r="A26">
        <v>24</v>
      </c>
      <c r="B26" s="5" t="s">
        <v>356</v>
      </c>
      <c r="C26" t="str">
        <f t="shared" si="0"/>
        <v>/edev/{id1}/di/loc/{id2}</v>
      </c>
      <c r="D26" s="9" t="s">
        <v>171</v>
      </c>
      <c r="E26" s="9" t="s">
        <v>171</v>
      </c>
      <c r="F26" s="9" t="s">
        <v>174</v>
      </c>
      <c r="G26" s="22" t="s">
        <v>171</v>
      </c>
      <c r="I26" s="13" t="s">
        <v>274</v>
      </c>
      <c r="J26">
        <v>23</v>
      </c>
      <c r="K26" s="13">
        <v>0</v>
      </c>
      <c r="L26" s="13">
        <v>0</v>
      </c>
      <c r="M26" s="13">
        <v>1</v>
      </c>
      <c r="N26" s="13">
        <v>0</v>
      </c>
      <c r="O26" s="13">
        <v>2</v>
      </c>
      <c r="P26" t="s">
        <v>386</v>
      </c>
      <c r="R26" t="s">
        <v>154</v>
      </c>
      <c r="S26" t="s">
        <v>159</v>
      </c>
      <c r="T26">
        <v>25</v>
      </c>
      <c r="U26" s="15">
        <v>0</v>
      </c>
      <c r="V26" s="15" t="str">
        <f t="shared" si="1"/>
        <v>SupportedLocale</v>
      </c>
      <c r="W26" s="7" t="str">
        <f t="shared" si="2"/>
        <v>SupportedLocale</v>
      </c>
      <c r="X26" s="7" t="str">
        <f>"GET/HEAD: "&amp;VLOOKUP(D26,MODE!A:D,2,FALSE)&amp;", "&amp;E$1&amp;": "&amp;VLOOKUP(E26,MODE!A:D,2,FALSE)&amp;", "&amp;F$1&amp;": "&amp;VLOOKUP(F26,MODE!A:D,2,FALSE)&amp;", "&amp;G$1&amp;": "&amp;VLOOKUP(G26,MODE!A:D,2,FALSE)</f>
        <v>GET/HEAD: Mandatory, PUT: Mandatory, POST: Error, DELETE: Mandatory</v>
      </c>
      <c r="Y26" s="7" t="b">
        <f t="shared" si="5"/>
        <v>0</v>
      </c>
      <c r="Z26" s="7" t="b">
        <f t="shared" si="6"/>
        <v>0</v>
      </c>
    </row>
    <row r="27" spans="1:26">
      <c r="A27">
        <v>25</v>
      </c>
      <c r="B27" t="s">
        <v>95</v>
      </c>
      <c r="C27" t="str">
        <f t="shared" si="0"/>
        <v>/edev/{id1}/ps</v>
      </c>
      <c r="D27" s="9" t="s">
        <v>171</v>
      </c>
      <c r="E27" s="9" t="s">
        <v>171</v>
      </c>
      <c r="F27" s="9" t="s">
        <v>174</v>
      </c>
      <c r="G27" s="22" t="s">
        <v>174</v>
      </c>
      <c r="I27" s="13" t="s">
        <v>205</v>
      </c>
      <c r="J27">
        <v>4</v>
      </c>
      <c r="K27" s="13">
        <v>0</v>
      </c>
      <c r="L27" s="13">
        <v>0</v>
      </c>
      <c r="M27" s="13">
        <v>0</v>
      </c>
      <c r="N27" s="13">
        <v>0</v>
      </c>
      <c r="O27" s="13">
        <v>1</v>
      </c>
      <c r="P27" t="s">
        <v>384</v>
      </c>
      <c r="R27" t="s">
        <v>154</v>
      </c>
      <c r="S27" t="s">
        <v>160</v>
      </c>
      <c r="T27">
        <v>26</v>
      </c>
      <c r="U27" s="15">
        <v>0</v>
      </c>
      <c r="V27" s="15" t="str">
        <f t="shared" si="1"/>
        <v>PowerStatus</v>
      </c>
      <c r="W27" s="7" t="str">
        <f t="shared" si="2"/>
        <v>PowerStatus</v>
      </c>
      <c r="X27" s="7" t="str">
        <f>"GET/HEAD: "&amp;VLOOKUP(D27,MODE!A:D,2,FALSE)&amp;", "&amp;E$1&amp;": "&amp;VLOOKUP(E27,MODE!A:D,2,FALSE)&amp;", "&amp;F$1&amp;": "&amp;VLOOKUP(F27,MODE!A:D,2,FALSE)&amp;", "&amp;G$1&amp;": "&amp;VLOOKUP(G27,MODE!A:D,2,FALSE)</f>
        <v>GET/HEAD: Mandatory, PUT: Mandatory, POST: Error, DELETE: Error</v>
      </c>
      <c r="Y27" s="7" t="b">
        <f t="shared" si="5"/>
        <v>0</v>
      </c>
      <c r="Z27" s="7" t="b">
        <f t="shared" si="6"/>
        <v>1</v>
      </c>
    </row>
    <row r="28" spans="1:26">
      <c r="A28">
        <v>26</v>
      </c>
      <c r="B28" t="s">
        <v>186</v>
      </c>
      <c r="C28" t="str">
        <f t="shared" si="0"/>
        <v>/edev/{id1}/ns</v>
      </c>
      <c r="D28" s="9" t="s">
        <v>171</v>
      </c>
      <c r="E28" s="9" t="s">
        <v>174</v>
      </c>
      <c r="F28" s="9" t="s">
        <v>173</v>
      </c>
      <c r="G28" s="22" t="s">
        <v>174</v>
      </c>
      <c r="I28" s="13" t="s">
        <v>210</v>
      </c>
      <c r="J28">
        <v>4</v>
      </c>
      <c r="K28" s="13">
        <v>1</v>
      </c>
      <c r="L28" s="13">
        <v>0</v>
      </c>
      <c r="M28" s="13">
        <v>0</v>
      </c>
      <c r="N28" s="13">
        <v>0</v>
      </c>
      <c r="O28" s="13">
        <v>1</v>
      </c>
      <c r="P28" t="s">
        <v>383</v>
      </c>
      <c r="R28" t="s">
        <v>154</v>
      </c>
      <c r="S28" t="s">
        <v>161</v>
      </c>
      <c r="T28">
        <v>27</v>
      </c>
      <c r="U28" s="15">
        <v>0</v>
      </c>
      <c r="V28" s="15" t="str">
        <f t="shared" si="1"/>
        <v>IPInterface</v>
      </c>
      <c r="W28" s="7" t="str">
        <f t="shared" si="2"/>
        <v>IPInterfaceList</v>
      </c>
      <c r="X28" s="7" t="str">
        <f>"GET/HEAD: "&amp;VLOOKUP(D28,MODE!A:D,2,FALSE)&amp;", "&amp;E$1&amp;": "&amp;VLOOKUP(E28,MODE!A:D,2,FALSE)&amp;", "&amp;F$1&amp;": "&amp;VLOOKUP(F28,MODE!A:D,2,FALSE)&amp;", "&amp;G$1&amp;": "&amp;VLOOKUP(G28,MODE!A:D,2,FALSE)</f>
        <v>GET/HEAD: Mandatory, PUT: Error, POST: Optional, DELETE: Error</v>
      </c>
      <c r="Y28" s="7" t="b">
        <f t="shared" si="5"/>
        <v>0</v>
      </c>
      <c r="Z28" s="7" t="b">
        <f t="shared" si="6"/>
        <v>1</v>
      </c>
    </row>
    <row r="29" spans="1:26">
      <c r="A29">
        <v>27</v>
      </c>
      <c r="B29" t="s">
        <v>185</v>
      </c>
      <c r="C29" t="str">
        <f t="shared" si="0"/>
        <v>/edev/{id1}/ns/{id2}</v>
      </c>
      <c r="D29" s="9" t="s">
        <v>171</v>
      </c>
      <c r="E29" s="9" t="s">
        <v>173</v>
      </c>
      <c r="F29" s="9" t="s">
        <v>174</v>
      </c>
      <c r="G29" s="22" t="s">
        <v>173</v>
      </c>
      <c r="I29" s="13" t="s">
        <v>274</v>
      </c>
      <c r="J29">
        <v>26</v>
      </c>
      <c r="K29" s="13">
        <v>0</v>
      </c>
      <c r="L29" s="13">
        <v>0</v>
      </c>
      <c r="M29" s="13">
        <v>1</v>
      </c>
      <c r="N29" s="13">
        <v>0</v>
      </c>
      <c r="O29" s="13">
        <v>2</v>
      </c>
      <c r="P29" t="s">
        <v>187</v>
      </c>
      <c r="R29" t="s">
        <v>154</v>
      </c>
      <c r="S29" t="s">
        <v>161</v>
      </c>
      <c r="T29">
        <v>28</v>
      </c>
      <c r="U29" s="15">
        <v>0</v>
      </c>
      <c r="V29" s="15" t="str">
        <f t="shared" si="1"/>
        <v>IPInterface</v>
      </c>
      <c r="W29" s="7" t="str">
        <f t="shared" si="2"/>
        <v>IPInterface</v>
      </c>
      <c r="X29" s="7" t="str">
        <f>"GET/HEAD: "&amp;VLOOKUP(D29,MODE!A:D,2,FALSE)&amp;", "&amp;E$1&amp;": "&amp;VLOOKUP(E29,MODE!A:D,2,FALSE)&amp;", "&amp;F$1&amp;": "&amp;VLOOKUP(F29,MODE!A:D,2,FALSE)&amp;", "&amp;G$1&amp;": "&amp;VLOOKUP(G29,MODE!A:D,2,FALSE)</f>
        <v>GET/HEAD: Mandatory, PUT: Optional, POST: Error, DELETE: Optional</v>
      </c>
      <c r="Y29" s="7" t="b">
        <f t="shared" si="5"/>
        <v>0</v>
      </c>
      <c r="Z29" s="7" t="b">
        <f t="shared" si="6"/>
        <v>0</v>
      </c>
    </row>
    <row r="30" spans="1:26">
      <c r="A30">
        <v>28</v>
      </c>
      <c r="B30" t="s">
        <v>213</v>
      </c>
      <c r="C30" t="str">
        <f t="shared" si="0"/>
        <v>/edev/{id1}/ns/{id2}/addr</v>
      </c>
      <c r="D30" s="9" t="s">
        <v>171</v>
      </c>
      <c r="E30" s="9" t="s">
        <v>174</v>
      </c>
      <c r="F30" s="9" t="s">
        <v>173</v>
      </c>
      <c r="G30" s="22" t="s">
        <v>174</v>
      </c>
      <c r="I30" s="13" t="s">
        <v>222</v>
      </c>
      <c r="J30">
        <v>27</v>
      </c>
      <c r="K30" s="13">
        <v>1</v>
      </c>
      <c r="L30" s="13">
        <v>0</v>
      </c>
      <c r="M30" s="13">
        <v>0</v>
      </c>
      <c r="N30" s="13">
        <v>0</v>
      </c>
      <c r="O30" s="13">
        <v>2</v>
      </c>
      <c r="P30" t="s">
        <v>217</v>
      </c>
      <c r="R30" t="s">
        <v>154</v>
      </c>
      <c r="S30" t="s">
        <v>161</v>
      </c>
      <c r="T30">
        <v>29</v>
      </c>
      <c r="U30" s="15">
        <v>0</v>
      </c>
      <c r="V30" s="15" t="str">
        <f t="shared" si="1"/>
        <v>IPAddr</v>
      </c>
      <c r="W30" s="7" t="str">
        <f t="shared" si="2"/>
        <v>IPAddrList</v>
      </c>
      <c r="X30" s="7" t="str">
        <f>"GET/HEAD: "&amp;VLOOKUP(D30,MODE!A:D,2,FALSE)&amp;", "&amp;E$1&amp;": "&amp;VLOOKUP(E30,MODE!A:D,2,FALSE)&amp;", "&amp;F$1&amp;": "&amp;VLOOKUP(F30,MODE!A:D,2,FALSE)&amp;", "&amp;G$1&amp;": "&amp;VLOOKUP(G30,MODE!A:D,2,FALSE)</f>
        <v>GET/HEAD: Mandatory, PUT: Error, POST: Optional, DELETE: Error</v>
      </c>
      <c r="Y30" s="7" t="b">
        <f t="shared" si="5"/>
        <v>0</v>
      </c>
      <c r="Z30" s="7" t="b">
        <f t="shared" si="6"/>
        <v>0</v>
      </c>
    </row>
    <row r="31" spans="1:26">
      <c r="A31">
        <v>29</v>
      </c>
      <c r="B31" t="s">
        <v>214</v>
      </c>
      <c r="C31" t="str">
        <f t="shared" si="0"/>
        <v>/edev/{id1}/ns/{id2}/addr/{id3}</v>
      </c>
      <c r="D31" s="9" t="s">
        <v>171</v>
      </c>
      <c r="E31" s="9" t="s">
        <v>173</v>
      </c>
      <c r="F31" s="9" t="s">
        <v>174</v>
      </c>
      <c r="G31" s="22" t="s">
        <v>173</v>
      </c>
      <c r="I31" s="13" t="s">
        <v>275</v>
      </c>
      <c r="J31">
        <v>28</v>
      </c>
      <c r="K31" s="13">
        <v>0</v>
      </c>
      <c r="L31" s="13">
        <v>0</v>
      </c>
      <c r="M31" s="13">
        <v>1</v>
      </c>
      <c r="N31" s="13">
        <v>0</v>
      </c>
      <c r="O31" s="13">
        <v>3</v>
      </c>
      <c r="P31" t="s">
        <v>218</v>
      </c>
      <c r="R31" t="s">
        <v>154</v>
      </c>
      <c r="S31" t="s">
        <v>161</v>
      </c>
      <c r="T31">
        <v>30</v>
      </c>
      <c r="U31" s="15">
        <v>0</v>
      </c>
      <c r="V31" s="15" t="str">
        <f t="shared" si="1"/>
        <v>IPAddr</v>
      </c>
      <c r="W31" s="7" t="str">
        <f t="shared" si="2"/>
        <v>IPAddr</v>
      </c>
      <c r="X31" s="7" t="str">
        <f>"GET/HEAD: "&amp;VLOOKUP(D31,MODE!A:D,2,FALSE)&amp;", "&amp;E$1&amp;": "&amp;VLOOKUP(E31,MODE!A:D,2,FALSE)&amp;", "&amp;F$1&amp;": "&amp;VLOOKUP(F31,MODE!A:D,2,FALSE)&amp;", "&amp;G$1&amp;": "&amp;VLOOKUP(G31,MODE!A:D,2,FALSE)</f>
        <v>GET/HEAD: Mandatory, PUT: Optional, POST: Error, DELETE: Optional</v>
      </c>
      <c r="Y31" s="7" t="b">
        <f t="shared" si="5"/>
        <v>0</v>
      </c>
      <c r="Z31" s="7" t="b">
        <f t="shared" si="6"/>
        <v>0</v>
      </c>
    </row>
    <row r="32" spans="1:26">
      <c r="A32">
        <v>30</v>
      </c>
      <c r="B32" t="s">
        <v>188</v>
      </c>
      <c r="C32" t="str">
        <f t="shared" si="0"/>
        <v>/edev/{id1}/ns/{id2}/addr/{id3}/rpl</v>
      </c>
      <c r="D32" s="9" t="s">
        <v>171</v>
      </c>
      <c r="E32" s="9" t="s">
        <v>174</v>
      </c>
      <c r="F32" s="9" t="s">
        <v>173</v>
      </c>
      <c r="G32" s="22" t="s">
        <v>174</v>
      </c>
      <c r="I32" s="13" t="s">
        <v>196</v>
      </c>
      <c r="J32">
        <v>29</v>
      </c>
      <c r="K32" s="13">
        <v>1</v>
      </c>
      <c r="L32" s="13">
        <v>0</v>
      </c>
      <c r="M32" s="13">
        <v>0</v>
      </c>
      <c r="N32" s="13">
        <v>0</v>
      </c>
      <c r="O32" s="13">
        <v>3</v>
      </c>
      <c r="P32" t="s">
        <v>189</v>
      </c>
      <c r="R32" t="s">
        <v>154</v>
      </c>
      <c r="S32" t="s">
        <v>161</v>
      </c>
      <c r="T32">
        <v>31</v>
      </c>
      <c r="U32" s="15">
        <v>0</v>
      </c>
      <c r="V32" s="15" t="str">
        <f t="shared" si="1"/>
        <v>RPLInstance</v>
      </c>
      <c r="W32" s="7" t="str">
        <f t="shared" si="2"/>
        <v>RPLInstanceList</v>
      </c>
      <c r="X32" s="7" t="str">
        <f>"GET/HEAD: "&amp;VLOOKUP(D32,MODE!A:D,2,FALSE)&amp;", "&amp;E$1&amp;": "&amp;VLOOKUP(E32,MODE!A:D,2,FALSE)&amp;", "&amp;F$1&amp;": "&amp;VLOOKUP(F32,MODE!A:D,2,FALSE)&amp;", "&amp;G$1&amp;": "&amp;VLOOKUP(G32,MODE!A:D,2,FALSE)</f>
        <v>GET/HEAD: Mandatory, PUT: Error, POST: Optional, DELETE: Error</v>
      </c>
      <c r="Y32" s="7" t="b">
        <f t="shared" si="5"/>
        <v>0</v>
      </c>
      <c r="Z32" s="7" t="b">
        <f t="shared" si="6"/>
        <v>0</v>
      </c>
    </row>
    <row r="33" spans="1:26">
      <c r="A33">
        <v>31</v>
      </c>
      <c r="B33" t="s">
        <v>190</v>
      </c>
      <c r="C33" t="str">
        <f t="shared" si="0"/>
        <v>/edev/{id1}/ns/{id2}/addr/{id3}/rpl/{id4}</v>
      </c>
      <c r="D33" s="9" t="s">
        <v>171</v>
      </c>
      <c r="E33" s="9" t="s">
        <v>173</v>
      </c>
      <c r="F33" s="9" t="s">
        <v>174</v>
      </c>
      <c r="G33" s="22" t="s">
        <v>173</v>
      </c>
      <c r="I33" s="13" t="s">
        <v>276</v>
      </c>
      <c r="J33">
        <v>30</v>
      </c>
      <c r="K33" s="13">
        <v>0</v>
      </c>
      <c r="L33" s="13">
        <v>0</v>
      </c>
      <c r="M33" s="13">
        <v>1</v>
      </c>
      <c r="N33" s="13">
        <v>0</v>
      </c>
      <c r="O33" s="13">
        <v>4</v>
      </c>
      <c r="P33" t="s">
        <v>191</v>
      </c>
      <c r="R33" t="s">
        <v>154</v>
      </c>
      <c r="S33" t="s">
        <v>161</v>
      </c>
      <c r="T33">
        <v>32</v>
      </c>
      <c r="U33" s="15">
        <v>0</v>
      </c>
      <c r="V33" s="15" t="str">
        <f t="shared" si="1"/>
        <v>RPLInstance</v>
      </c>
      <c r="W33" s="7" t="str">
        <f t="shared" si="2"/>
        <v>RPLInstance</v>
      </c>
      <c r="X33" s="7" t="str">
        <f>"GET/HEAD: "&amp;VLOOKUP(D33,MODE!A:D,2,FALSE)&amp;", "&amp;E$1&amp;": "&amp;VLOOKUP(E33,MODE!A:D,2,FALSE)&amp;", "&amp;F$1&amp;": "&amp;VLOOKUP(F33,MODE!A:D,2,FALSE)&amp;", "&amp;G$1&amp;": "&amp;VLOOKUP(G33,MODE!A:D,2,FALSE)</f>
        <v>GET/HEAD: Mandatory, PUT: Optional, POST: Error, DELETE: Optional</v>
      </c>
      <c r="Y33" s="7" t="b">
        <f t="shared" si="5"/>
        <v>0</v>
      </c>
      <c r="Z33" s="7" t="b">
        <f t="shared" si="6"/>
        <v>0</v>
      </c>
    </row>
    <row r="34" spans="1:26">
      <c r="A34">
        <v>32</v>
      </c>
      <c r="B34" t="s">
        <v>192</v>
      </c>
      <c r="C34" t="str">
        <f t="shared" ref="C34:C65" si="7">IF(NOT(J34),"/",VLOOKUP(J34,A:C,3,FALSE)&amp;"/")&amp;IF(M34,"{","")&amp;I34&amp;IF(M34,"}","")</f>
        <v>/edev/{id1}/ns/{id2}/addr/{id3}/rpl/{id4}/srt</v>
      </c>
      <c r="D34" s="9" t="s">
        <v>171</v>
      </c>
      <c r="E34" s="9" t="s">
        <v>174</v>
      </c>
      <c r="F34" s="9" t="s">
        <v>173</v>
      </c>
      <c r="G34" s="22" t="s">
        <v>174</v>
      </c>
      <c r="I34" s="13" t="s">
        <v>197</v>
      </c>
      <c r="J34">
        <v>31</v>
      </c>
      <c r="K34" s="13">
        <v>1</v>
      </c>
      <c r="L34" s="13">
        <v>0</v>
      </c>
      <c r="M34" s="13">
        <v>0</v>
      </c>
      <c r="N34" s="13">
        <v>0</v>
      </c>
      <c r="O34" s="13">
        <v>4</v>
      </c>
      <c r="P34" t="s">
        <v>194</v>
      </c>
      <c r="R34" t="s">
        <v>154</v>
      </c>
      <c r="S34" t="s">
        <v>161</v>
      </c>
      <c r="T34">
        <v>33</v>
      </c>
      <c r="U34" s="15">
        <v>0</v>
      </c>
      <c r="V34" s="15" t="str">
        <f t="shared" ref="V34:V65" si="8">IF(RIGHT(B34,4)="List",LEFT(W34,LEN(W34)-4),W34)</f>
        <v>RPLSourceRoutes</v>
      </c>
      <c r="W34" s="7" t="str">
        <f t="shared" ref="W34:W65" si="9">MID(B34,U34+1,99)</f>
        <v>RPLSourceRoutesList</v>
      </c>
      <c r="X34" s="7" t="str">
        <f>"GET/HEAD: "&amp;VLOOKUP(D34,MODE!A:D,2,FALSE)&amp;", "&amp;E$1&amp;": "&amp;VLOOKUP(E34,MODE!A:D,2,FALSE)&amp;", "&amp;F$1&amp;": "&amp;VLOOKUP(F34,MODE!A:D,2,FALSE)&amp;", "&amp;G$1&amp;": "&amp;VLOOKUP(G34,MODE!A:D,2,FALSE)</f>
        <v>GET/HEAD: Mandatory, PUT: Error, POST: Optional, DELETE: Error</v>
      </c>
      <c r="Y34" s="7" t="b">
        <f t="shared" si="5"/>
        <v>0</v>
      </c>
      <c r="Z34" s="7" t="b">
        <f t="shared" si="6"/>
        <v>0</v>
      </c>
    </row>
    <row r="35" spans="1:26">
      <c r="A35">
        <v>33</v>
      </c>
      <c r="B35" t="s">
        <v>193</v>
      </c>
      <c r="C35" t="str">
        <f t="shared" si="7"/>
        <v>/edev/{id1}/ns/{id2}/addr/{id3}/rpl/{id4}/srt/{id5}</v>
      </c>
      <c r="D35" s="9" t="s">
        <v>171</v>
      </c>
      <c r="E35" s="9" t="s">
        <v>173</v>
      </c>
      <c r="F35" s="9" t="s">
        <v>174</v>
      </c>
      <c r="G35" s="22" t="s">
        <v>173</v>
      </c>
      <c r="I35" s="13" t="s">
        <v>368</v>
      </c>
      <c r="J35">
        <v>32</v>
      </c>
      <c r="K35" s="13">
        <v>0</v>
      </c>
      <c r="L35" s="13">
        <v>0</v>
      </c>
      <c r="M35" s="13">
        <v>1</v>
      </c>
      <c r="N35" s="13">
        <v>0</v>
      </c>
      <c r="O35" s="13">
        <v>5</v>
      </c>
      <c r="P35" t="s">
        <v>195</v>
      </c>
      <c r="R35" t="s">
        <v>154</v>
      </c>
      <c r="S35" t="s">
        <v>161</v>
      </c>
      <c r="T35">
        <v>34</v>
      </c>
      <c r="U35" s="15">
        <v>0</v>
      </c>
      <c r="V35" s="15" t="str">
        <f t="shared" si="8"/>
        <v>RPLSourceRoutes</v>
      </c>
      <c r="W35" s="7" t="str">
        <f t="shared" si="9"/>
        <v>RPLSourceRoutes</v>
      </c>
      <c r="X35" s="7" t="str">
        <f>"GET/HEAD: "&amp;VLOOKUP(D35,MODE!A:D,2,FALSE)&amp;", "&amp;E$1&amp;": "&amp;VLOOKUP(E35,MODE!A:D,2,FALSE)&amp;", "&amp;F$1&amp;": "&amp;VLOOKUP(F35,MODE!A:D,2,FALSE)&amp;", "&amp;G$1&amp;": "&amp;VLOOKUP(G35,MODE!A:D,2,FALSE)</f>
        <v>GET/HEAD: Mandatory, PUT: Optional, POST: Error, DELETE: Optional</v>
      </c>
      <c r="Y35" s="7" t="b">
        <f t="shared" si="5"/>
        <v>0</v>
      </c>
      <c r="Z35" s="7" t="b">
        <f t="shared" si="6"/>
        <v>0</v>
      </c>
    </row>
    <row r="36" spans="1:26">
      <c r="A36">
        <v>34</v>
      </c>
      <c r="B36" t="s">
        <v>215</v>
      </c>
      <c r="C36" t="str">
        <f t="shared" si="7"/>
        <v>/edev/{id1}/ns/{id2}/ll</v>
      </c>
      <c r="D36" s="9" t="s">
        <v>171</v>
      </c>
      <c r="E36" s="9" t="s">
        <v>174</v>
      </c>
      <c r="F36" s="9" t="s">
        <v>173</v>
      </c>
      <c r="G36" s="22" t="s">
        <v>174</v>
      </c>
      <c r="I36" s="13" t="s">
        <v>221</v>
      </c>
      <c r="J36">
        <v>27</v>
      </c>
      <c r="K36" s="13">
        <v>1</v>
      </c>
      <c r="L36" s="13">
        <v>0</v>
      </c>
      <c r="M36" s="13">
        <v>0</v>
      </c>
      <c r="N36" s="13">
        <v>0</v>
      </c>
      <c r="O36" s="13">
        <v>2</v>
      </c>
      <c r="P36" t="s">
        <v>219</v>
      </c>
      <c r="R36" t="s">
        <v>154</v>
      </c>
      <c r="S36" t="s">
        <v>161</v>
      </c>
      <c r="T36">
        <v>35</v>
      </c>
      <c r="U36" s="15">
        <v>0</v>
      </c>
      <c r="V36" s="15" t="str">
        <f t="shared" si="8"/>
        <v>LLInterface</v>
      </c>
      <c r="W36" s="7" t="str">
        <f t="shared" si="9"/>
        <v>LLInterfaceList</v>
      </c>
      <c r="X36" s="7" t="str">
        <f>"GET/HEAD: "&amp;VLOOKUP(D36,MODE!A:D,2,FALSE)&amp;", "&amp;E$1&amp;": "&amp;VLOOKUP(E36,MODE!A:D,2,FALSE)&amp;", "&amp;F$1&amp;": "&amp;VLOOKUP(F36,MODE!A:D,2,FALSE)&amp;", "&amp;G$1&amp;": "&amp;VLOOKUP(G36,MODE!A:D,2,FALSE)</f>
        <v>GET/HEAD: Mandatory, PUT: Error, POST: Optional, DELETE: Error</v>
      </c>
      <c r="Y36" s="7" t="b">
        <f t="shared" si="5"/>
        <v>0</v>
      </c>
      <c r="Z36" s="7" t="b">
        <f t="shared" si="6"/>
        <v>0</v>
      </c>
    </row>
    <row r="37" spans="1:26">
      <c r="A37">
        <v>35</v>
      </c>
      <c r="B37" t="s">
        <v>216</v>
      </c>
      <c r="C37" t="str">
        <f t="shared" si="7"/>
        <v>/edev/{id1}/ns/{id2}/ll/{id3}</v>
      </c>
      <c r="D37" s="9" t="s">
        <v>171</v>
      </c>
      <c r="E37" s="9" t="s">
        <v>173</v>
      </c>
      <c r="F37" s="9" t="s">
        <v>174</v>
      </c>
      <c r="G37" s="22" t="s">
        <v>173</v>
      </c>
      <c r="I37" s="13" t="s">
        <v>275</v>
      </c>
      <c r="J37">
        <v>34</v>
      </c>
      <c r="K37" s="13">
        <v>0</v>
      </c>
      <c r="L37" s="13">
        <v>0</v>
      </c>
      <c r="M37" s="13">
        <v>1</v>
      </c>
      <c r="N37" s="13">
        <v>0</v>
      </c>
      <c r="O37" s="13">
        <v>3</v>
      </c>
      <c r="P37" t="s">
        <v>220</v>
      </c>
      <c r="R37" t="s">
        <v>154</v>
      </c>
      <c r="S37" t="s">
        <v>161</v>
      </c>
      <c r="T37">
        <v>36</v>
      </c>
      <c r="U37" s="15">
        <v>0</v>
      </c>
      <c r="V37" s="15" t="str">
        <f t="shared" si="8"/>
        <v>LLInterface</v>
      </c>
      <c r="W37" s="7" t="str">
        <f t="shared" si="9"/>
        <v>LLInterface</v>
      </c>
      <c r="X37" s="7" t="str">
        <f>"GET/HEAD: "&amp;VLOOKUP(D37,MODE!A:D,2,FALSE)&amp;", "&amp;E$1&amp;": "&amp;VLOOKUP(E37,MODE!A:D,2,FALSE)&amp;", "&amp;F$1&amp;": "&amp;VLOOKUP(F37,MODE!A:D,2,FALSE)&amp;", "&amp;G$1&amp;": "&amp;VLOOKUP(G37,MODE!A:D,2,FALSE)</f>
        <v>GET/HEAD: Mandatory, PUT: Optional, POST: Error, DELETE: Optional</v>
      </c>
      <c r="Y37" s="7" t="b">
        <f t="shared" si="5"/>
        <v>0</v>
      </c>
      <c r="Z37" s="7" t="b">
        <f t="shared" si="6"/>
        <v>0</v>
      </c>
    </row>
    <row r="38" spans="1:26">
      <c r="A38">
        <v>36</v>
      </c>
      <c r="B38" t="s">
        <v>341</v>
      </c>
      <c r="C38" t="str">
        <f t="shared" si="7"/>
        <v>/edev/{id1}/ns/{id2}/ll/{id3}/nbh</v>
      </c>
      <c r="D38" s="9" t="s">
        <v>171</v>
      </c>
      <c r="E38" s="9" t="s">
        <v>174</v>
      </c>
      <c r="F38" s="9" t="s">
        <v>173</v>
      </c>
      <c r="G38" s="22" t="s">
        <v>174</v>
      </c>
      <c r="I38" s="13" t="s">
        <v>343</v>
      </c>
      <c r="J38">
        <v>35</v>
      </c>
      <c r="K38" s="13">
        <v>1</v>
      </c>
      <c r="L38" s="13">
        <v>0</v>
      </c>
      <c r="M38" s="13">
        <v>0</v>
      </c>
      <c r="N38" s="13">
        <v>0</v>
      </c>
      <c r="O38" s="13">
        <v>3</v>
      </c>
      <c r="P38" t="s">
        <v>344</v>
      </c>
      <c r="R38" t="s">
        <v>154</v>
      </c>
      <c r="S38" t="s">
        <v>161</v>
      </c>
      <c r="T38">
        <v>37</v>
      </c>
      <c r="U38" s="15">
        <v>0</v>
      </c>
      <c r="V38" s="15" t="str">
        <f t="shared" si="8"/>
        <v>Neighbor</v>
      </c>
      <c r="W38" s="7" t="str">
        <f t="shared" si="9"/>
        <v>NeighborList</v>
      </c>
      <c r="X38" s="7" t="str">
        <f>"GET/HEAD: "&amp;VLOOKUP(D38,MODE!A:D,2,FALSE)&amp;", "&amp;E$1&amp;": "&amp;VLOOKUP(E38,MODE!A:D,2,FALSE)&amp;", "&amp;F$1&amp;": "&amp;VLOOKUP(F38,MODE!A:D,2,FALSE)&amp;", "&amp;G$1&amp;": "&amp;VLOOKUP(G38,MODE!A:D,2,FALSE)</f>
        <v>GET/HEAD: Mandatory, PUT: Error, POST: Optional, DELETE: Error</v>
      </c>
      <c r="Y38" s="7" t="b">
        <f t="shared" si="5"/>
        <v>0</v>
      </c>
      <c r="Z38" s="7" t="b">
        <f t="shared" si="6"/>
        <v>0</v>
      </c>
    </row>
    <row r="39" spans="1:26">
      <c r="A39">
        <v>37</v>
      </c>
      <c r="B39" t="s">
        <v>342</v>
      </c>
      <c r="C39" t="str">
        <f t="shared" si="7"/>
        <v>/edev/{id1}/ns/{id2}/ll/{id3}/nbh/{id4}</v>
      </c>
      <c r="D39" s="9" t="s">
        <v>171</v>
      </c>
      <c r="E39" s="9" t="s">
        <v>173</v>
      </c>
      <c r="F39" s="9" t="s">
        <v>174</v>
      </c>
      <c r="G39" s="22" t="s">
        <v>173</v>
      </c>
      <c r="I39" s="13" t="s">
        <v>276</v>
      </c>
      <c r="J39">
        <v>36</v>
      </c>
      <c r="K39" s="13">
        <v>0</v>
      </c>
      <c r="L39" s="13">
        <v>0</v>
      </c>
      <c r="M39" s="13">
        <v>1</v>
      </c>
      <c r="N39" s="13">
        <v>0</v>
      </c>
      <c r="O39" s="13">
        <v>4</v>
      </c>
      <c r="P39" t="s">
        <v>345</v>
      </c>
      <c r="R39" t="s">
        <v>154</v>
      </c>
      <c r="S39" t="s">
        <v>161</v>
      </c>
      <c r="T39">
        <v>38</v>
      </c>
      <c r="U39" s="15">
        <v>0</v>
      </c>
      <c r="V39" s="15" t="str">
        <f t="shared" si="8"/>
        <v>Neighbor</v>
      </c>
      <c r="W39" s="7" t="str">
        <f t="shared" si="9"/>
        <v>Neighbor</v>
      </c>
      <c r="X39" s="7" t="str">
        <f>"GET/HEAD: "&amp;VLOOKUP(D39,MODE!A:D,2,FALSE)&amp;", "&amp;E$1&amp;": "&amp;VLOOKUP(E39,MODE!A:D,2,FALSE)&amp;", "&amp;F$1&amp;": "&amp;VLOOKUP(F39,MODE!A:D,2,FALSE)&amp;", "&amp;G$1&amp;": "&amp;VLOOKUP(G39,MODE!A:D,2,FALSE)</f>
        <v>GET/HEAD: Mandatory, PUT: Optional, POST: Error, DELETE: Optional</v>
      </c>
      <c r="Y39" s="7" t="b">
        <f t="shared" si="5"/>
        <v>0</v>
      </c>
      <c r="Z39" s="7" t="b">
        <f t="shared" si="6"/>
        <v>0</v>
      </c>
    </row>
    <row r="40" spans="1:26">
      <c r="A40">
        <v>38</v>
      </c>
      <c r="B40" t="s">
        <v>91</v>
      </c>
      <c r="C40" t="str">
        <f t="shared" si="7"/>
        <v>/edev/{id1}/lel</v>
      </c>
      <c r="D40" s="9" t="s">
        <v>171</v>
      </c>
      <c r="E40" s="9" t="s">
        <v>174</v>
      </c>
      <c r="F40" s="9" t="s">
        <v>171</v>
      </c>
      <c r="G40" s="22" t="s">
        <v>174</v>
      </c>
      <c r="I40" s="13" t="s">
        <v>145</v>
      </c>
      <c r="J40">
        <v>4</v>
      </c>
      <c r="K40" s="13">
        <v>1</v>
      </c>
      <c r="L40" s="13">
        <v>1</v>
      </c>
      <c r="M40" s="13">
        <v>0</v>
      </c>
      <c r="N40" s="13">
        <v>0</v>
      </c>
      <c r="O40" s="13">
        <v>1</v>
      </c>
      <c r="P40" t="s">
        <v>250</v>
      </c>
      <c r="R40" t="s">
        <v>154</v>
      </c>
      <c r="S40" t="s">
        <v>408</v>
      </c>
      <c r="T40">
        <v>39</v>
      </c>
      <c r="U40" s="15">
        <v>0</v>
      </c>
      <c r="V40" s="15" t="str">
        <f t="shared" si="8"/>
        <v>LogEvent</v>
      </c>
      <c r="W40" s="7" t="str">
        <f t="shared" si="9"/>
        <v>LogEventList</v>
      </c>
      <c r="X40" s="7" t="str">
        <f>"GET/HEAD: "&amp;VLOOKUP(D40,MODE!A:D,2,FALSE)&amp;", "&amp;E$1&amp;": "&amp;VLOOKUP(E40,MODE!A:D,2,FALSE)&amp;", "&amp;F$1&amp;": "&amp;VLOOKUP(F40,MODE!A:D,2,FALSE)&amp;", "&amp;G$1&amp;": "&amp;VLOOKUP(G40,MODE!A:D,2,FALSE)</f>
        <v>GET/HEAD: Mandatory, PUT: Error, POST: Mandatory, DELETE: Error</v>
      </c>
      <c r="Y40" s="7" t="b">
        <f t="shared" si="5"/>
        <v>0</v>
      </c>
      <c r="Z40" s="7" t="b">
        <f t="shared" si="6"/>
        <v>1</v>
      </c>
    </row>
    <row r="41" spans="1:26">
      <c r="A41">
        <v>39</v>
      </c>
      <c r="B41" t="s">
        <v>90</v>
      </c>
      <c r="C41" t="str">
        <f t="shared" si="7"/>
        <v>/edev/{id1}/lel/{id2}</v>
      </c>
      <c r="D41" s="9" t="s">
        <v>171</v>
      </c>
      <c r="E41" s="9" t="s">
        <v>173</v>
      </c>
      <c r="F41" s="9" t="s">
        <v>174</v>
      </c>
      <c r="G41" s="22" t="s">
        <v>171</v>
      </c>
      <c r="I41" s="13" t="s">
        <v>274</v>
      </c>
      <c r="J41">
        <v>38</v>
      </c>
      <c r="K41" s="13">
        <v>0</v>
      </c>
      <c r="L41" s="13">
        <v>0</v>
      </c>
      <c r="M41" s="13">
        <v>1</v>
      </c>
      <c r="N41" s="13">
        <v>0</v>
      </c>
      <c r="O41" s="13">
        <v>2</v>
      </c>
      <c r="P41" t="s">
        <v>199</v>
      </c>
      <c r="R41" t="s">
        <v>154</v>
      </c>
      <c r="S41" t="s">
        <v>408</v>
      </c>
      <c r="T41">
        <v>40</v>
      </c>
      <c r="U41" s="15">
        <v>0</v>
      </c>
      <c r="V41" s="15" t="str">
        <f t="shared" si="8"/>
        <v>LogEvent</v>
      </c>
      <c r="W41" s="7" t="str">
        <f t="shared" si="9"/>
        <v>LogEvent</v>
      </c>
      <c r="X41" s="7" t="str">
        <f>"GET/HEAD: "&amp;VLOOKUP(D41,MODE!A:D,2,FALSE)&amp;", "&amp;E$1&amp;": "&amp;VLOOKUP(E41,MODE!A:D,2,FALSE)&amp;", "&amp;F$1&amp;": "&amp;VLOOKUP(F41,MODE!A:D,2,FALSE)&amp;", "&amp;G$1&amp;": "&amp;VLOOKUP(G41,MODE!A:D,2,FALSE)</f>
        <v>GET/HEAD: Mandatory, PUT: Optional, POST: Error, DELETE: Mandatory</v>
      </c>
      <c r="Y41" s="7" t="b">
        <f t="shared" si="5"/>
        <v>0</v>
      </c>
      <c r="Z41" s="7" t="b">
        <f t="shared" si="6"/>
        <v>0</v>
      </c>
    </row>
    <row r="42" spans="1:26">
      <c r="A42">
        <v>40</v>
      </c>
      <c r="B42" t="s">
        <v>80</v>
      </c>
      <c r="C42" t="str">
        <f t="shared" si="7"/>
        <v>/edev/{id1}/cfg</v>
      </c>
      <c r="D42" s="9" t="s">
        <v>171</v>
      </c>
      <c r="E42" s="9" t="s">
        <v>171</v>
      </c>
      <c r="F42" s="9" t="s">
        <v>174</v>
      </c>
      <c r="G42" s="22" t="s">
        <v>174</v>
      </c>
      <c r="I42" s="13" t="s">
        <v>120</v>
      </c>
      <c r="J42">
        <v>4</v>
      </c>
      <c r="K42" s="13">
        <v>0</v>
      </c>
      <c r="L42" s="13">
        <v>0</v>
      </c>
      <c r="M42" s="13">
        <v>0</v>
      </c>
      <c r="N42" s="13">
        <v>0</v>
      </c>
      <c r="O42" s="13">
        <v>1</v>
      </c>
      <c r="P42" t="s">
        <v>376</v>
      </c>
      <c r="R42" t="s">
        <v>152</v>
      </c>
      <c r="S42" t="s">
        <v>162</v>
      </c>
      <c r="T42">
        <v>41</v>
      </c>
      <c r="U42" s="15">
        <v>0</v>
      </c>
      <c r="V42" s="15" t="str">
        <f t="shared" si="8"/>
        <v>Configuration</v>
      </c>
      <c r="W42" s="7" t="str">
        <f t="shared" si="9"/>
        <v>Configuration</v>
      </c>
      <c r="X42" s="7" t="str">
        <f>"GET/HEAD: "&amp;VLOOKUP(D42,MODE!A:D,2,FALSE)&amp;", "&amp;E$1&amp;": "&amp;VLOOKUP(E42,MODE!A:D,2,FALSE)&amp;", "&amp;F$1&amp;": "&amp;VLOOKUP(F42,MODE!A:D,2,FALSE)&amp;", "&amp;G$1&amp;": "&amp;VLOOKUP(G42,MODE!A:D,2,FALSE)</f>
        <v>GET/HEAD: Mandatory, PUT: Mandatory, POST: Error, DELETE: Error</v>
      </c>
      <c r="Y42" s="7" t="b">
        <f t="shared" si="5"/>
        <v>1</v>
      </c>
      <c r="Z42" s="7" t="b">
        <f t="shared" si="6"/>
        <v>1</v>
      </c>
    </row>
    <row r="43" spans="1:26">
      <c r="A43">
        <v>41</v>
      </c>
      <c r="B43" t="s">
        <v>374</v>
      </c>
      <c r="C43" t="str">
        <f t="shared" si="7"/>
        <v>/edev/{id1}/cfg/prcfg</v>
      </c>
      <c r="D43" s="9" t="s">
        <v>171</v>
      </c>
      <c r="E43" s="9" t="s">
        <v>174</v>
      </c>
      <c r="F43" s="9" t="s">
        <v>171</v>
      </c>
      <c r="G43" s="22" t="s">
        <v>174</v>
      </c>
      <c r="I43" s="13" t="s">
        <v>349</v>
      </c>
      <c r="J43">
        <v>40</v>
      </c>
      <c r="K43" s="13">
        <v>1</v>
      </c>
      <c r="L43" s="13">
        <v>0</v>
      </c>
      <c r="M43" s="13">
        <v>0</v>
      </c>
      <c r="N43" s="13">
        <v>0</v>
      </c>
      <c r="O43" s="13">
        <v>1</v>
      </c>
      <c r="P43" t="s">
        <v>350</v>
      </c>
      <c r="R43" t="s">
        <v>152</v>
      </c>
      <c r="S43" t="s">
        <v>162</v>
      </c>
      <c r="T43">
        <v>42</v>
      </c>
      <c r="U43" s="15">
        <v>0</v>
      </c>
      <c r="V43" s="15" t="str">
        <f t="shared" si="8"/>
        <v>PriceResponseCfg</v>
      </c>
      <c r="W43" s="7" t="str">
        <f t="shared" si="9"/>
        <v>PriceResponseCfgList</v>
      </c>
      <c r="X43" s="7" t="str">
        <f>"GET/HEAD: "&amp;VLOOKUP(D43,MODE!A:D,2,FALSE)&amp;", "&amp;E$1&amp;": "&amp;VLOOKUP(E43,MODE!A:D,2,FALSE)&amp;", "&amp;F$1&amp;": "&amp;VLOOKUP(F43,MODE!A:D,2,FALSE)&amp;", "&amp;G$1&amp;": "&amp;VLOOKUP(G43,MODE!A:D,2,FALSE)</f>
        <v>GET/HEAD: Mandatory, PUT: Error, POST: Mandatory, DELETE: Error</v>
      </c>
      <c r="Y43" s="7" t="b">
        <f t="shared" si="5"/>
        <v>0</v>
      </c>
      <c r="Z43" s="7" t="b">
        <f t="shared" si="6"/>
        <v>0</v>
      </c>
    </row>
    <row r="44" spans="1:26">
      <c r="A44">
        <v>42</v>
      </c>
      <c r="B44" t="s">
        <v>375</v>
      </c>
      <c r="C44" t="str">
        <f t="shared" si="7"/>
        <v>/edev/{id1}/cfg/prcfg/{id2}</v>
      </c>
      <c r="D44" s="9" t="s">
        <v>171</v>
      </c>
      <c r="E44" s="9" t="s">
        <v>171</v>
      </c>
      <c r="F44" s="9" t="s">
        <v>174</v>
      </c>
      <c r="G44" s="22" t="s">
        <v>171</v>
      </c>
      <c r="I44" s="13" t="s">
        <v>274</v>
      </c>
      <c r="J44">
        <v>41</v>
      </c>
      <c r="K44" s="13">
        <v>0</v>
      </c>
      <c r="L44" s="13">
        <v>0</v>
      </c>
      <c r="M44" s="13">
        <v>1</v>
      </c>
      <c r="N44" s="13">
        <v>0</v>
      </c>
      <c r="O44" s="13">
        <v>2</v>
      </c>
      <c r="P44" t="s">
        <v>351</v>
      </c>
      <c r="R44" t="s">
        <v>152</v>
      </c>
      <c r="S44" t="s">
        <v>162</v>
      </c>
      <c r="T44">
        <v>43</v>
      </c>
      <c r="U44" s="15">
        <v>0</v>
      </c>
      <c r="V44" s="15" t="str">
        <f t="shared" si="8"/>
        <v>PriceResponseCfg</v>
      </c>
      <c r="W44" s="7" t="str">
        <f t="shared" si="9"/>
        <v>PriceResponseCfg</v>
      </c>
      <c r="X44" s="7" t="str">
        <f>"GET/HEAD: "&amp;VLOOKUP(D44,MODE!A:D,2,FALSE)&amp;", "&amp;E$1&amp;": "&amp;VLOOKUP(E44,MODE!A:D,2,FALSE)&amp;", "&amp;F$1&amp;": "&amp;VLOOKUP(F44,MODE!A:D,2,FALSE)&amp;", "&amp;G$1&amp;": "&amp;VLOOKUP(G44,MODE!A:D,2,FALSE)</f>
        <v>GET/HEAD: Mandatory, PUT: Mandatory, POST: Error, DELETE: Mandatory</v>
      </c>
      <c r="Y44" s="7" t="b">
        <f t="shared" si="5"/>
        <v>0</v>
      </c>
      <c r="Z44" s="7" t="b">
        <f t="shared" si="6"/>
        <v>0</v>
      </c>
    </row>
    <row r="45" spans="1:26">
      <c r="A45">
        <v>43</v>
      </c>
      <c r="B45" t="s">
        <v>13</v>
      </c>
      <c r="C45" t="str">
        <f t="shared" si="7"/>
        <v>/file</v>
      </c>
      <c r="D45" s="9" t="s">
        <v>171</v>
      </c>
      <c r="E45" s="9" t="s">
        <v>174</v>
      </c>
      <c r="F45" s="9" t="s">
        <v>172</v>
      </c>
      <c r="G45" s="22" t="s">
        <v>174</v>
      </c>
      <c r="I45" s="13" t="s">
        <v>211</v>
      </c>
      <c r="J45">
        <v>0</v>
      </c>
      <c r="K45" s="13">
        <v>1</v>
      </c>
      <c r="L45" s="13">
        <v>0</v>
      </c>
      <c r="M45" s="13">
        <v>0</v>
      </c>
      <c r="N45" s="13">
        <v>0</v>
      </c>
      <c r="O45" s="13">
        <v>2</v>
      </c>
      <c r="P45" t="s">
        <v>291</v>
      </c>
      <c r="R45" t="s">
        <v>152</v>
      </c>
      <c r="S45" t="s">
        <v>163</v>
      </c>
      <c r="T45">
        <v>44</v>
      </c>
      <c r="U45" s="15">
        <v>0</v>
      </c>
      <c r="V45" s="15" t="str">
        <f t="shared" si="8"/>
        <v>File</v>
      </c>
      <c r="W45" s="7" t="str">
        <f t="shared" si="9"/>
        <v>FileList</v>
      </c>
      <c r="X45" s="7" t="str">
        <f>"GET/HEAD: "&amp;VLOOKUP(D45,MODE!A:D,2,FALSE)&amp;", "&amp;E$1&amp;": "&amp;VLOOKUP(E45,MODE!A:D,2,FALSE)&amp;", "&amp;F$1&amp;": "&amp;VLOOKUP(F45,MODE!A:D,2,FALSE)&amp;", "&amp;G$1&amp;": "&amp;VLOOKUP(G45,MODE!A:D,2,FALSE)</f>
        <v>GET/HEAD: Mandatory, PUT: Error, POST: Discouraged, DELETE: Error</v>
      </c>
      <c r="Y45" s="7" t="b">
        <f t="shared" si="5"/>
        <v>0</v>
      </c>
      <c r="Z45" s="7" t="b">
        <f t="shared" si="6"/>
        <v>1</v>
      </c>
    </row>
    <row r="46" spans="1:26">
      <c r="A46">
        <v>44</v>
      </c>
      <c r="B46" t="s">
        <v>14</v>
      </c>
      <c r="C46" t="str">
        <f t="shared" si="7"/>
        <v>/file/{id1}</v>
      </c>
      <c r="D46" s="9" t="s">
        <v>171</v>
      </c>
      <c r="E46" s="9" t="s">
        <v>172</v>
      </c>
      <c r="F46" s="9" t="s">
        <v>174</v>
      </c>
      <c r="G46" s="22" t="s">
        <v>172</v>
      </c>
      <c r="I46" s="13" t="s">
        <v>273</v>
      </c>
      <c r="J46">
        <v>43</v>
      </c>
      <c r="K46" s="13">
        <v>0</v>
      </c>
      <c r="L46" s="13">
        <v>0</v>
      </c>
      <c r="M46" s="13">
        <v>1</v>
      </c>
      <c r="N46" s="13">
        <v>0</v>
      </c>
      <c r="O46" s="13">
        <v>1</v>
      </c>
      <c r="P46" t="s">
        <v>292</v>
      </c>
      <c r="R46" t="s">
        <v>152</v>
      </c>
      <c r="S46" t="s">
        <v>163</v>
      </c>
      <c r="T46">
        <v>45</v>
      </c>
      <c r="U46" s="15">
        <v>0</v>
      </c>
      <c r="V46" s="15" t="str">
        <f t="shared" si="8"/>
        <v>File</v>
      </c>
      <c r="W46" s="7" t="str">
        <f t="shared" si="9"/>
        <v>File</v>
      </c>
      <c r="X46" s="7" t="str">
        <f>"GET/HEAD: "&amp;VLOOKUP(D46,MODE!A:D,2,FALSE)&amp;", "&amp;E$1&amp;": "&amp;VLOOKUP(E46,MODE!A:D,2,FALSE)&amp;", "&amp;F$1&amp;": "&amp;VLOOKUP(F46,MODE!A:D,2,FALSE)&amp;", "&amp;G$1&amp;": "&amp;VLOOKUP(G46,MODE!A:D,2,FALSE)</f>
        <v>GET/HEAD: Mandatory, PUT: Discouraged, POST: Error, DELETE: Discouraged</v>
      </c>
      <c r="Y46" s="7" t="b">
        <f t="shared" si="5"/>
        <v>0</v>
      </c>
      <c r="Z46" s="7" t="b">
        <f t="shared" si="6"/>
        <v>0</v>
      </c>
    </row>
    <row r="47" spans="1:26">
      <c r="A47">
        <v>45</v>
      </c>
      <c r="B47" t="s">
        <v>15</v>
      </c>
      <c r="C47" t="str">
        <f t="shared" si="7"/>
        <v>/edev/{id1}/fs</v>
      </c>
      <c r="D47" s="9" t="s">
        <v>171</v>
      </c>
      <c r="E47" s="9" t="s">
        <v>171</v>
      </c>
      <c r="F47" s="9" t="s">
        <v>174</v>
      </c>
      <c r="G47" s="22" t="s">
        <v>174</v>
      </c>
      <c r="I47" s="13" t="s">
        <v>74</v>
      </c>
      <c r="J47">
        <v>4</v>
      </c>
      <c r="K47" s="13">
        <v>0</v>
      </c>
      <c r="L47" s="13">
        <v>0</v>
      </c>
      <c r="M47" s="13">
        <v>0</v>
      </c>
      <c r="N47" s="13">
        <v>0</v>
      </c>
      <c r="O47" s="13">
        <v>1</v>
      </c>
      <c r="P47" t="s">
        <v>382</v>
      </c>
      <c r="R47" t="s">
        <v>152</v>
      </c>
      <c r="S47" t="s">
        <v>163</v>
      </c>
      <c r="T47">
        <v>46</v>
      </c>
      <c r="U47" s="15">
        <v>0</v>
      </c>
      <c r="V47" s="15" t="str">
        <f t="shared" si="8"/>
        <v>FileStatus</v>
      </c>
      <c r="W47" s="7" t="str">
        <f t="shared" si="9"/>
        <v>FileStatus</v>
      </c>
      <c r="X47" s="7" t="str">
        <f>"GET/HEAD: "&amp;VLOOKUP(D47,MODE!A:D,2,FALSE)&amp;", "&amp;E$1&amp;": "&amp;VLOOKUP(E47,MODE!A:D,2,FALSE)&amp;", "&amp;F$1&amp;": "&amp;VLOOKUP(F47,MODE!A:D,2,FALSE)&amp;", "&amp;G$1&amp;": "&amp;VLOOKUP(G47,MODE!A:D,2,FALSE)</f>
        <v>GET/HEAD: Mandatory, PUT: Mandatory, POST: Error, DELETE: Error</v>
      </c>
      <c r="Y47" s="7" t="b">
        <f t="shared" si="5"/>
        <v>0</v>
      </c>
      <c r="Z47" s="7" t="b">
        <f t="shared" si="6"/>
        <v>0</v>
      </c>
    </row>
    <row r="48" spans="1:26">
      <c r="A48">
        <v>46</v>
      </c>
      <c r="B48" t="s">
        <v>21</v>
      </c>
      <c r="C48" t="str">
        <f t="shared" si="7"/>
        <v>/dr</v>
      </c>
      <c r="D48" s="9" t="s">
        <v>171</v>
      </c>
      <c r="E48" s="9" t="s">
        <v>174</v>
      </c>
      <c r="F48" s="9" t="s">
        <v>172</v>
      </c>
      <c r="G48" s="22" t="s">
        <v>174</v>
      </c>
      <c r="I48" s="13" t="s">
        <v>212</v>
      </c>
      <c r="J48">
        <v>0</v>
      </c>
      <c r="K48" s="13">
        <v>1</v>
      </c>
      <c r="L48" s="13">
        <v>0</v>
      </c>
      <c r="M48" s="13">
        <v>0</v>
      </c>
      <c r="N48" s="13">
        <v>0</v>
      </c>
      <c r="O48" s="13">
        <v>0</v>
      </c>
      <c r="P48" t="s">
        <v>237</v>
      </c>
      <c r="R48" t="s">
        <v>152</v>
      </c>
      <c r="S48" t="s">
        <v>321</v>
      </c>
      <c r="T48">
        <v>47</v>
      </c>
      <c r="U48" s="15">
        <v>0</v>
      </c>
      <c r="V48" s="15" t="str">
        <f t="shared" si="8"/>
        <v>DemandResponseProgram</v>
      </c>
      <c r="W48" s="7" t="str">
        <f t="shared" si="9"/>
        <v>DemandResponseProgramList</v>
      </c>
      <c r="X48" s="7" t="str">
        <f>"GET/HEAD: "&amp;VLOOKUP(D48,MODE!A:D,2,FALSE)&amp;", "&amp;E$1&amp;": "&amp;VLOOKUP(E48,MODE!A:D,2,FALSE)&amp;", "&amp;F$1&amp;": "&amp;VLOOKUP(F48,MODE!A:D,2,FALSE)&amp;", "&amp;G$1&amp;": "&amp;VLOOKUP(G48,MODE!A:D,2,FALSE)</f>
        <v>GET/HEAD: Mandatory, PUT: Error, POST: Discouraged, DELETE: Error</v>
      </c>
      <c r="Y48" s="7" t="b">
        <f t="shared" si="5"/>
        <v>0</v>
      </c>
      <c r="Z48" s="7" t="b">
        <f t="shared" si="6"/>
        <v>1</v>
      </c>
    </row>
    <row r="49" spans="1:26">
      <c r="A49">
        <v>47</v>
      </c>
      <c r="B49" t="s">
        <v>25</v>
      </c>
      <c r="C49" t="str">
        <f t="shared" si="7"/>
        <v>/dr/{id1}</v>
      </c>
      <c r="D49" s="9" t="s">
        <v>171</v>
      </c>
      <c r="E49" s="9" t="s">
        <v>174</v>
      </c>
      <c r="F49" s="9" t="s">
        <v>174</v>
      </c>
      <c r="G49" s="22" t="s">
        <v>172</v>
      </c>
      <c r="I49" s="13" t="s">
        <v>273</v>
      </c>
      <c r="J49">
        <v>46</v>
      </c>
      <c r="K49" s="13">
        <v>0</v>
      </c>
      <c r="L49" s="13">
        <v>0</v>
      </c>
      <c r="M49" s="13">
        <v>1</v>
      </c>
      <c r="N49" s="13">
        <v>1</v>
      </c>
      <c r="O49" s="13">
        <v>1</v>
      </c>
      <c r="P49" t="s">
        <v>238</v>
      </c>
      <c r="R49" t="s">
        <v>152</v>
      </c>
      <c r="S49" t="s">
        <v>321</v>
      </c>
      <c r="T49">
        <v>48</v>
      </c>
      <c r="U49" s="15">
        <v>0</v>
      </c>
      <c r="V49" s="15" t="str">
        <f t="shared" si="8"/>
        <v>DemandResponseProgram</v>
      </c>
      <c r="W49" s="7" t="str">
        <f t="shared" si="9"/>
        <v>DemandResponseProgram</v>
      </c>
      <c r="X49" s="7" t="str">
        <f>"GET/HEAD: "&amp;VLOOKUP(D49,MODE!A:D,2,FALSE)&amp;", "&amp;E$1&amp;": "&amp;VLOOKUP(E49,MODE!A:D,2,FALSE)&amp;", "&amp;F$1&amp;": "&amp;VLOOKUP(F49,MODE!A:D,2,FALSE)&amp;", "&amp;G$1&amp;": "&amp;VLOOKUP(G49,MODE!A:D,2,FALSE)</f>
        <v>GET/HEAD: Mandatory, PUT: Error, POST: Error, DELETE: Discouraged</v>
      </c>
      <c r="Y49" s="7" t="b">
        <f t="shared" si="5"/>
        <v>0</v>
      </c>
      <c r="Z49" s="7" t="b">
        <f t="shared" si="6"/>
        <v>0</v>
      </c>
    </row>
    <row r="50" spans="1:26">
      <c r="A50">
        <v>48</v>
      </c>
      <c r="B50" t="s">
        <v>31</v>
      </c>
      <c r="C50" t="str">
        <f t="shared" si="7"/>
        <v>/dr/{id1}/actedc</v>
      </c>
      <c r="D50" s="9" t="s">
        <v>171</v>
      </c>
      <c r="E50" s="9" t="s">
        <v>174</v>
      </c>
      <c r="F50" s="9" t="s">
        <v>174</v>
      </c>
      <c r="G50" s="22" t="s">
        <v>174</v>
      </c>
      <c r="I50" s="13" t="s">
        <v>58</v>
      </c>
      <c r="J50">
        <v>47</v>
      </c>
      <c r="K50" s="13">
        <v>1</v>
      </c>
      <c r="L50" s="13">
        <v>1</v>
      </c>
      <c r="M50" s="13">
        <v>0</v>
      </c>
      <c r="N50" s="13">
        <v>0</v>
      </c>
      <c r="O50" s="13">
        <v>1</v>
      </c>
      <c r="P50" t="s">
        <v>123</v>
      </c>
      <c r="R50" t="s">
        <v>152</v>
      </c>
      <c r="S50" t="s">
        <v>321</v>
      </c>
      <c r="T50">
        <v>49</v>
      </c>
      <c r="U50" s="15">
        <v>6</v>
      </c>
      <c r="V50" s="15" t="str">
        <f t="shared" si="8"/>
        <v>EndDeviceControl</v>
      </c>
      <c r="W50" s="7" t="str">
        <f t="shared" si="9"/>
        <v>EndDeviceControlList</v>
      </c>
      <c r="X50" s="7" t="str">
        <f>"GET/HEAD: "&amp;VLOOKUP(D50,MODE!A:D,2,FALSE)&amp;", "&amp;E$1&amp;": "&amp;VLOOKUP(E50,MODE!A:D,2,FALSE)&amp;", "&amp;F$1&amp;": "&amp;VLOOKUP(F50,MODE!A:D,2,FALSE)&amp;", "&amp;G$1&amp;": "&amp;VLOOKUP(G50,MODE!A:D,2,FALSE)</f>
        <v>GET/HEAD: Mandatory, PUT: Error, POST: Error, DELETE: Error</v>
      </c>
      <c r="Y50" s="7" t="b">
        <f t="shared" si="5"/>
        <v>0</v>
      </c>
      <c r="Z50" s="7" t="b">
        <f t="shared" si="6"/>
        <v>0</v>
      </c>
    </row>
    <row r="51" spans="1:26">
      <c r="A51">
        <v>49</v>
      </c>
      <c r="B51" t="s">
        <v>32</v>
      </c>
      <c r="C51" t="str">
        <f t="shared" si="7"/>
        <v>/dr/{id1}/edc</v>
      </c>
      <c r="D51" s="9" t="s">
        <v>171</v>
      </c>
      <c r="E51" s="9" t="s">
        <v>174</v>
      </c>
      <c r="F51" s="9" t="s">
        <v>172</v>
      </c>
      <c r="G51" s="22" t="s">
        <v>174</v>
      </c>
      <c r="I51" s="13" t="s">
        <v>59</v>
      </c>
      <c r="J51">
        <v>47</v>
      </c>
      <c r="K51" s="13">
        <v>1</v>
      </c>
      <c r="L51" s="13">
        <v>1</v>
      </c>
      <c r="M51" s="13">
        <v>0</v>
      </c>
      <c r="N51" s="13">
        <v>0</v>
      </c>
      <c r="O51" s="13">
        <v>1</v>
      </c>
      <c r="P51" t="s">
        <v>239</v>
      </c>
      <c r="R51" t="s">
        <v>152</v>
      </c>
      <c r="S51" t="s">
        <v>321</v>
      </c>
      <c r="T51">
        <v>50</v>
      </c>
      <c r="U51" s="15">
        <v>0</v>
      </c>
      <c r="V51" s="15" t="str">
        <f t="shared" si="8"/>
        <v>EndDeviceControl</v>
      </c>
      <c r="W51" s="7" t="str">
        <f t="shared" si="9"/>
        <v>EndDeviceControlList</v>
      </c>
      <c r="X51" s="7" t="str">
        <f>"GET/HEAD: "&amp;VLOOKUP(D51,MODE!A:D,2,FALSE)&amp;", "&amp;E$1&amp;": "&amp;VLOOKUP(E51,MODE!A:D,2,FALSE)&amp;", "&amp;F$1&amp;": "&amp;VLOOKUP(F51,MODE!A:D,2,FALSE)&amp;", "&amp;G$1&amp;": "&amp;VLOOKUP(G51,MODE!A:D,2,FALSE)</f>
        <v>GET/HEAD: Mandatory, PUT: Error, POST: Discouraged, DELETE: Error</v>
      </c>
      <c r="Y51" s="7" t="b">
        <f t="shared" si="5"/>
        <v>0</v>
      </c>
      <c r="Z51" s="7" t="b">
        <f t="shared" si="6"/>
        <v>0</v>
      </c>
    </row>
    <row r="52" spans="1:26">
      <c r="A52">
        <v>50</v>
      </c>
      <c r="B52" t="s">
        <v>33</v>
      </c>
      <c r="C52" t="str">
        <f t="shared" si="7"/>
        <v>/dr/{id1}/edc/{id2}</v>
      </c>
      <c r="D52" s="9" t="s">
        <v>171</v>
      </c>
      <c r="E52" s="9" t="s">
        <v>174</v>
      </c>
      <c r="F52" s="9" t="s">
        <v>174</v>
      </c>
      <c r="G52" s="22" t="s">
        <v>172</v>
      </c>
      <c r="I52" s="13" t="s">
        <v>274</v>
      </c>
      <c r="J52">
        <v>49</v>
      </c>
      <c r="K52" s="13">
        <v>0</v>
      </c>
      <c r="L52" s="13">
        <v>0</v>
      </c>
      <c r="M52" s="13">
        <v>1</v>
      </c>
      <c r="N52" s="13">
        <v>1</v>
      </c>
      <c r="O52" s="13">
        <v>2</v>
      </c>
      <c r="P52" t="s">
        <v>240</v>
      </c>
      <c r="R52" t="s">
        <v>152</v>
      </c>
      <c r="S52" t="s">
        <v>321</v>
      </c>
      <c r="T52">
        <v>51</v>
      </c>
      <c r="U52" s="15">
        <v>0</v>
      </c>
      <c r="V52" s="15" t="str">
        <f t="shared" si="8"/>
        <v>EndDeviceControl</v>
      </c>
      <c r="W52" s="7" t="str">
        <f t="shared" si="9"/>
        <v>EndDeviceControl</v>
      </c>
      <c r="X52" s="7" t="str">
        <f>"GET/HEAD: "&amp;VLOOKUP(D52,MODE!A:D,2,FALSE)&amp;", "&amp;E$1&amp;": "&amp;VLOOKUP(E52,MODE!A:D,2,FALSE)&amp;", "&amp;F$1&amp;": "&amp;VLOOKUP(F52,MODE!A:D,2,FALSE)&amp;", "&amp;G$1&amp;": "&amp;VLOOKUP(G52,MODE!A:D,2,FALSE)</f>
        <v>GET/HEAD: Mandatory, PUT: Error, POST: Error, DELETE: Discouraged</v>
      </c>
      <c r="Y52" s="7" t="b">
        <f t="shared" si="5"/>
        <v>0</v>
      </c>
      <c r="Z52" s="7" t="b">
        <f t="shared" si="6"/>
        <v>0</v>
      </c>
    </row>
    <row r="53" spans="1:26">
      <c r="A53">
        <v>129</v>
      </c>
      <c r="B53" t="s">
        <v>404</v>
      </c>
      <c r="C53" t="str">
        <f t="shared" si="7"/>
        <v>/edev/{id1}/lsl</v>
      </c>
      <c r="D53" s="9" t="s">
        <v>171</v>
      </c>
      <c r="E53" s="9" t="s">
        <v>174</v>
      </c>
      <c r="F53" s="9" t="s">
        <v>171</v>
      </c>
      <c r="G53" s="22" t="s">
        <v>174</v>
      </c>
      <c r="I53" s="13" t="s">
        <v>405</v>
      </c>
      <c r="J53">
        <v>4</v>
      </c>
      <c r="K53" s="13">
        <v>1</v>
      </c>
      <c r="L53" s="13">
        <v>0</v>
      </c>
      <c r="M53" s="13">
        <v>0</v>
      </c>
      <c r="N53" s="13">
        <v>0</v>
      </c>
      <c r="O53" s="13">
        <v>1</v>
      </c>
      <c r="P53" t="s">
        <v>406</v>
      </c>
      <c r="R53" t="s">
        <v>152</v>
      </c>
      <c r="S53" t="s">
        <v>321</v>
      </c>
      <c r="T53">
        <v>52</v>
      </c>
      <c r="U53" s="15">
        <v>0</v>
      </c>
      <c r="V53" s="15" t="str">
        <f t="shared" si="8"/>
        <v>LoadShedAvailability</v>
      </c>
      <c r="W53" s="7" t="str">
        <f t="shared" si="9"/>
        <v>LoadShedAvailabilityList</v>
      </c>
      <c r="X53" s="7" t="str">
        <f>"GET/HEAD: "&amp;VLOOKUP(D53,MODE!A:D,2,FALSE)&amp;", "&amp;E$1&amp;": "&amp;VLOOKUP(E53,MODE!A:D,2,FALSE)&amp;", "&amp;F$1&amp;": "&amp;VLOOKUP(F53,MODE!A:D,2,FALSE)&amp;", "&amp;G$1&amp;": "&amp;VLOOKUP(G53,MODE!A:D,2,FALSE)</f>
        <v>GET/HEAD: Mandatory, PUT: Error, POST: Mandatory, DELETE: Error</v>
      </c>
      <c r="Y53" s="7" t="b">
        <f t="shared" si="5"/>
        <v>0</v>
      </c>
      <c r="Z53" s="7" t="b">
        <f t="shared" si="6"/>
        <v>0</v>
      </c>
    </row>
    <row r="54" spans="1:26">
      <c r="A54">
        <v>51</v>
      </c>
      <c r="B54" t="s">
        <v>34</v>
      </c>
      <c r="C54" t="str">
        <f t="shared" si="7"/>
        <v>/edev/{id1}/lsl/{id2}</v>
      </c>
      <c r="D54" s="9" t="s">
        <v>171</v>
      </c>
      <c r="E54" s="9" t="s">
        <v>173</v>
      </c>
      <c r="F54" s="9" t="s">
        <v>174</v>
      </c>
      <c r="G54" s="22" t="s">
        <v>171</v>
      </c>
      <c r="I54" s="13" t="s">
        <v>274</v>
      </c>
      <c r="J54">
        <v>129</v>
      </c>
      <c r="K54" s="13">
        <v>0</v>
      </c>
      <c r="L54" s="13">
        <v>0</v>
      </c>
      <c r="M54" s="13">
        <v>1</v>
      </c>
      <c r="N54" s="13">
        <v>0</v>
      </c>
      <c r="O54" s="13">
        <v>2</v>
      </c>
      <c r="P54" t="s">
        <v>407</v>
      </c>
      <c r="R54" t="s">
        <v>152</v>
      </c>
      <c r="S54" t="s">
        <v>321</v>
      </c>
      <c r="T54">
        <v>53</v>
      </c>
      <c r="U54" s="15">
        <v>0</v>
      </c>
      <c r="V54" s="15" t="str">
        <f t="shared" si="8"/>
        <v>LoadShedAvailability</v>
      </c>
      <c r="W54" s="7" t="str">
        <f t="shared" si="9"/>
        <v>LoadShedAvailability</v>
      </c>
      <c r="X54" s="7" t="str">
        <f>"GET/HEAD: "&amp;VLOOKUP(D54,MODE!A:D,2,FALSE)&amp;", "&amp;E$1&amp;": "&amp;VLOOKUP(E54,MODE!A:D,2,FALSE)&amp;", "&amp;F$1&amp;": "&amp;VLOOKUP(F54,MODE!A:D,2,FALSE)&amp;", "&amp;G$1&amp;": "&amp;VLOOKUP(G54,MODE!A:D,2,FALSE)</f>
        <v>GET/HEAD: Mandatory, PUT: Optional, POST: Error, DELETE: Mandatory</v>
      </c>
      <c r="Y54" s="7" t="b">
        <f t="shared" si="5"/>
        <v>0</v>
      </c>
      <c r="Z54" s="7" t="b">
        <f t="shared" si="6"/>
        <v>0</v>
      </c>
    </row>
    <row r="55" spans="1:26">
      <c r="A55">
        <v>52</v>
      </c>
      <c r="B55" t="s">
        <v>35</v>
      </c>
      <c r="C55" t="str">
        <f t="shared" si="7"/>
        <v>/upt</v>
      </c>
      <c r="D55" s="9" t="s">
        <v>171</v>
      </c>
      <c r="E55" s="9" t="s">
        <v>174</v>
      </c>
      <c r="F55" s="9" t="s">
        <v>173</v>
      </c>
      <c r="G55" s="22" t="s">
        <v>174</v>
      </c>
      <c r="I55" s="13" t="s">
        <v>60</v>
      </c>
      <c r="J55">
        <v>0</v>
      </c>
      <c r="K55" s="13">
        <v>1</v>
      </c>
      <c r="L55" s="13">
        <v>0</v>
      </c>
      <c r="M55" s="13">
        <v>0</v>
      </c>
      <c r="N55" s="13">
        <v>0</v>
      </c>
      <c r="O55" s="13">
        <v>0</v>
      </c>
      <c r="P55" t="s">
        <v>241</v>
      </c>
      <c r="R55" t="s">
        <v>152</v>
      </c>
      <c r="S55" t="s">
        <v>164</v>
      </c>
      <c r="T55">
        <v>54</v>
      </c>
      <c r="U55" s="15">
        <v>0</v>
      </c>
      <c r="V55" s="15" t="str">
        <f t="shared" si="8"/>
        <v>UsagePoint</v>
      </c>
      <c r="W55" s="7" t="str">
        <f t="shared" si="9"/>
        <v>UsagePointList</v>
      </c>
      <c r="X55" s="7" t="str">
        <f>"GET/HEAD: "&amp;VLOOKUP(D55,MODE!A:D,2,FALSE)&amp;", "&amp;E$1&amp;": "&amp;VLOOKUP(E55,MODE!A:D,2,FALSE)&amp;", "&amp;F$1&amp;": "&amp;VLOOKUP(F55,MODE!A:D,2,FALSE)&amp;", "&amp;G$1&amp;": "&amp;VLOOKUP(G55,MODE!A:D,2,FALSE)</f>
        <v>GET/HEAD: Mandatory, PUT: Error, POST: Optional, DELETE: Error</v>
      </c>
      <c r="Y55" s="7" t="b">
        <f t="shared" si="5"/>
        <v>0</v>
      </c>
      <c r="Z55" s="7" t="b">
        <f t="shared" si="6"/>
        <v>1</v>
      </c>
    </row>
    <row r="56" spans="1:26">
      <c r="A56">
        <v>53</v>
      </c>
      <c r="B56" t="s">
        <v>36</v>
      </c>
      <c r="C56" t="str">
        <f t="shared" si="7"/>
        <v>/upt/{id1}</v>
      </c>
      <c r="D56" s="22" t="s">
        <v>171</v>
      </c>
      <c r="E56" s="9" t="s">
        <v>174</v>
      </c>
      <c r="F56" s="9" t="s">
        <v>174</v>
      </c>
      <c r="G56" s="22" t="s">
        <v>173</v>
      </c>
      <c r="I56" s="13" t="s">
        <v>273</v>
      </c>
      <c r="J56">
        <v>52</v>
      </c>
      <c r="K56" s="13">
        <v>0</v>
      </c>
      <c r="L56" s="13">
        <v>0</v>
      </c>
      <c r="M56" s="13">
        <v>1</v>
      </c>
      <c r="N56" s="13">
        <v>1</v>
      </c>
      <c r="O56" s="13">
        <v>1</v>
      </c>
      <c r="P56" t="s">
        <v>242</v>
      </c>
      <c r="R56" t="s">
        <v>152</v>
      </c>
      <c r="S56" t="s">
        <v>164</v>
      </c>
      <c r="T56">
        <v>55</v>
      </c>
      <c r="U56" s="15">
        <v>0</v>
      </c>
      <c r="V56" s="15" t="str">
        <f t="shared" si="8"/>
        <v>UsagePoint</v>
      </c>
      <c r="W56" s="7" t="str">
        <f t="shared" si="9"/>
        <v>UsagePoint</v>
      </c>
      <c r="X56" s="7" t="str">
        <f>"GET/HEAD: "&amp;VLOOKUP(D56,MODE!A:D,2,FALSE)&amp;", "&amp;E$1&amp;": "&amp;VLOOKUP(E56,MODE!A:D,2,FALSE)&amp;", "&amp;F$1&amp;": "&amp;VLOOKUP(F56,MODE!A:D,2,FALSE)&amp;", "&amp;G$1&amp;": "&amp;VLOOKUP(G56,MODE!A:D,2,FALSE)</f>
        <v>GET/HEAD: Mandatory, PUT: Error, POST: Error, DELETE: Optional</v>
      </c>
      <c r="Y56" s="7" t="b">
        <f t="shared" si="5"/>
        <v>0</v>
      </c>
      <c r="Z56" s="7" t="b">
        <f t="shared" si="6"/>
        <v>0</v>
      </c>
    </row>
    <row r="57" spans="1:26">
      <c r="A57">
        <v>54</v>
      </c>
      <c r="B57" t="s">
        <v>37</v>
      </c>
      <c r="C57" t="str">
        <f t="shared" si="7"/>
        <v>/upt/{id1}/mr</v>
      </c>
      <c r="D57" s="9" t="s">
        <v>171</v>
      </c>
      <c r="E57" s="9" t="s">
        <v>174</v>
      </c>
      <c r="F57" s="9" t="s">
        <v>173</v>
      </c>
      <c r="G57" s="22" t="s">
        <v>174</v>
      </c>
      <c r="I57" s="13" t="s">
        <v>61</v>
      </c>
      <c r="J57">
        <v>53</v>
      </c>
      <c r="K57" s="13">
        <v>1</v>
      </c>
      <c r="L57" s="13">
        <v>0</v>
      </c>
      <c r="M57" s="13">
        <v>0</v>
      </c>
      <c r="N57" s="13">
        <v>0</v>
      </c>
      <c r="O57" s="13">
        <v>1</v>
      </c>
      <c r="P57" t="s">
        <v>243</v>
      </c>
      <c r="R57" t="s">
        <v>152</v>
      </c>
      <c r="S57" t="s">
        <v>164</v>
      </c>
      <c r="T57">
        <v>56</v>
      </c>
      <c r="U57" s="15">
        <v>0</v>
      </c>
      <c r="V57" s="15" t="str">
        <f t="shared" si="8"/>
        <v>MeterReading</v>
      </c>
      <c r="W57" s="7" t="str">
        <f t="shared" si="9"/>
        <v>MeterReadingList</v>
      </c>
      <c r="X57" s="7" t="str">
        <f>"GET/HEAD: "&amp;VLOOKUP(D57,MODE!A:D,2,FALSE)&amp;", "&amp;E$1&amp;": "&amp;VLOOKUP(E57,MODE!A:D,2,FALSE)&amp;", "&amp;F$1&amp;": "&amp;VLOOKUP(F57,MODE!A:D,2,FALSE)&amp;", "&amp;G$1&amp;": "&amp;VLOOKUP(G57,MODE!A:D,2,FALSE)</f>
        <v>GET/HEAD: Mandatory, PUT: Error, POST: Optional, DELETE: Error</v>
      </c>
      <c r="Y57" s="7" t="b">
        <f t="shared" si="5"/>
        <v>0</v>
      </c>
      <c r="Z57" s="7" t="b">
        <f t="shared" si="6"/>
        <v>0</v>
      </c>
    </row>
    <row r="58" spans="1:26">
      <c r="A58">
        <v>55</v>
      </c>
      <c r="B58" t="s">
        <v>38</v>
      </c>
      <c r="C58" t="str">
        <f t="shared" si="7"/>
        <v>/upt/{id1}/mr/{id2}</v>
      </c>
      <c r="D58" s="9" t="s">
        <v>171</v>
      </c>
      <c r="E58" s="9" t="s">
        <v>174</v>
      </c>
      <c r="F58" s="9" t="s">
        <v>174</v>
      </c>
      <c r="G58" s="22" t="s">
        <v>173</v>
      </c>
      <c r="I58" s="13" t="s">
        <v>274</v>
      </c>
      <c r="J58">
        <v>54</v>
      </c>
      <c r="K58" s="13">
        <v>0</v>
      </c>
      <c r="L58" s="13">
        <v>0</v>
      </c>
      <c r="M58" s="13">
        <v>1</v>
      </c>
      <c r="N58" s="13">
        <v>1</v>
      </c>
      <c r="O58" s="13">
        <v>2</v>
      </c>
      <c r="P58" t="s">
        <v>200</v>
      </c>
      <c r="R58" t="s">
        <v>152</v>
      </c>
      <c r="S58" t="s">
        <v>164</v>
      </c>
      <c r="T58">
        <v>57</v>
      </c>
      <c r="U58" s="15">
        <v>0</v>
      </c>
      <c r="V58" s="15" t="str">
        <f t="shared" si="8"/>
        <v>MeterReading</v>
      </c>
      <c r="W58" s="7" t="str">
        <f t="shared" si="9"/>
        <v>MeterReading</v>
      </c>
      <c r="X58" s="7" t="str">
        <f>"GET/HEAD: "&amp;VLOOKUP(D58,MODE!A:D,2,FALSE)&amp;", "&amp;E$1&amp;": "&amp;VLOOKUP(E58,MODE!A:D,2,FALSE)&amp;", "&amp;F$1&amp;": "&amp;VLOOKUP(F58,MODE!A:D,2,FALSE)&amp;", "&amp;G$1&amp;": "&amp;VLOOKUP(G58,MODE!A:D,2,FALSE)</f>
        <v>GET/HEAD: Mandatory, PUT: Error, POST: Error, DELETE: Optional</v>
      </c>
      <c r="Y58" s="7" t="b">
        <f t="shared" si="5"/>
        <v>0</v>
      </c>
      <c r="Z58" s="7" t="b">
        <f t="shared" si="6"/>
        <v>0</v>
      </c>
    </row>
    <row r="59" spans="1:26">
      <c r="A59">
        <v>56</v>
      </c>
      <c r="B59" t="s">
        <v>39</v>
      </c>
      <c r="C59" t="str">
        <f t="shared" si="7"/>
        <v>/upt/{id1}/mr/{id2}/rt</v>
      </c>
      <c r="D59" s="9" t="s">
        <v>171</v>
      </c>
      <c r="E59" s="9" t="s">
        <v>173</v>
      </c>
      <c r="F59" s="9" t="s">
        <v>174</v>
      </c>
      <c r="G59" s="22" t="s">
        <v>174</v>
      </c>
      <c r="I59" s="13" t="s">
        <v>62</v>
      </c>
      <c r="J59">
        <v>55</v>
      </c>
      <c r="K59" s="13">
        <v>0</v>
      </c>
      <c r="L59" s="13">
        <v>0</v>
      </c>
      <c r="M59" s="13">
        <v>0</v>
      </c>
      <c r="N59" s="13">
        <v>0</v>
      </c>
      <c r="O59" s="13">
        <v>2</v>
      </c>
      <c r="P59" t="s">
        <v>201</v>
      </c>
      <c r="R59" t="s">
        <v>152</v>
      </c>
      <c r="S59" t="s">
        <v>164</v>
      </c>
      <c r="T59">
        <v>58</v>
      </c>
      <c r="U59" s="15">
        <v>0</v>
      </c>
      <c r="V59" s="15" t="str">
        <f t="shared" si="8"/>
        <v>ReadingType</v>
      </c>
      <c r="W59" s="7" t="str">
        <f t="shared" si="9"/>
        <v>ReadingType</v>
      </c>
      <c r="X59" s="7" t="str">
        <f>"GET/HEAD: "&amp;VLOOKUP(D59,MODE!A:D,2,FALSE)&amp;", "&amp;E$1&amp;": "&amp;VLOOKUP(E59,MODE!A:D,2,FALSE)&amp;", "&amp;F$1&amp;": "&amp;VLOOKUP(F59,MODE!A:D,2,FALSE)&amp;", "&amp;G$1&amp;": "&amp;VLOOKUP(G59,MODE!A:D,2,FALSE)</f>
        <v>GET/HEAD: Mandatory, PUT: Optional, POST: Error, DELETE: Error</v>
      </c>
      <c r="Y59" s="7" t="b">
        <f t="shared" si="5"/>
        <v>0</v>
      </c>
      <c r="Z59" s="7" t="b">
        <f t="shared" si="6"/>
        <v>0</v>
      </c>
    </row>
    <row r="60" spans="1:26">
      <c r="A60">
        <v>57</v>
      </c>
      <c r="B60" t="s">
        <v>183</v>
      </c>
      <c r="C60" t="str">
        <f t="shared" si="7"/>
        <v>/upt/{id1}/mr/{id2}/rs</v>
      </c>
      <c r="D60" s="9" t="s">
        <v>171</v>
      </c>
      <c r="E60" s="9" t="s">
        <v>174</v>
      </c>
      <c r="F60" s="9" t="s">
        <v>173</v>
      </c>
      <c r="G60" s="22" t="s">
        <v>174</v>
      </c>
      <c r="I60" s="13" t="s">
        <v>223</v>
      </c>
      <c r="J60">
        <v>55</v>
      </c>
      <c r="K60" s="13">
        <v>1</v>
      </c>
      <c r="L60" s="13">
        <v>1</v>
      </c>
      <c r="M60" s="13">
        <v>0</v>
      </c>
      <c r="N60" s="13">
        <v>0</v>
      </c>
      <c r="O60" s="13">
        <v>2</v>
      </c>
      <c r="P60" t="s">
        <v>202</v>
      </c>
      <c r="R60" t="s">
        <v>152</v>
      </c>
      <c r="S60" t="s">
        <v>164</v>
      </c>
      <c r="T60">
        <v>59</v>
      </c>
      <c r="U60" s="15">
        <v>0</v>
      </c>
      <c r="V60" s="15" t="str">
        <f t="shared" si="8"/>
        <v>ReadingSet</v>
      </c>
      <c r="W60" s="7" t="str">
        <f t="shared" si="9"/>
        <v>ReadingSetList</v>
      </c>
      <c r="X60" s="7" t="str">
        <f>"GET/HEAD: "&amp;VLOOKUP(D60,MODE!A:D,2,FALSE)&amp;", "&amp;E$1&amp;": "&amp;VLOOKUP(E60,MODE!A:D,2,FALSE)&amp;", "&amp;F$1&amp;": "&amp;VLOOKUP(F60,MODE!A:D,2,FALSE)&amp;", "&amp;G$1&amp;": "&amp;VLOOKUP(G60,MODE!A:D,2,FALSE)</f>
        <v>GET/HEAD: Mandatory, PUT: Error, POST: Optional, DELETE: Error</v>
      </c>
      <c r="Y60" s="7" t="b">
        <f t="shared" si="5"/>
        <v>0</v>
      </c>
      <c r="Z60" s="7" t="b">
        <f t="shared" si="6"/>
        <v>0</v>
      </c>
    </row>
    <row r="61" spans="1:26">
      <c r="A61">
        <v>58</v>
      </c>
      <c r="B61" t="s">
        <v>184</v>
      </c>
      <c r="C61" t="str">
        <f t="shared" si="7"/>
        <v>/upt/{id1}/mr/{id2}/rs/{id3}</v>
      </c>
      <c r="D61" s="9" t="s">
        <v>171</v>
      </c>
      <c r="E61" s="9" t="s">
        <v>174</v>
      </c>
      <c r="F61" s="9" t="s">
        <v>174</v>
      </c>
      <c r="G61" s="22" t="s">
        <v>173</v>
      </c>
      <c r="I61" s="13" t="s">
        <v>275</v>
      </c>
      <c r="J61">
        <v>57</v>
      </c>
      <c r="K61" s="13">
        <v>0</v>
      </c>
      <c r="L61" s="13">
        <v>0</v>
      </c>
      <c r="M61" s="13">
        <v>1</v>
      </c>
      <c r="N61" s="13">
        <v>1</v>
      </c>
      <c r="O61" s="13">
        <v>3</v>
      </c>
      <c r="P61" t="s">
        <v>203</v>
      </c>
      <c r="R61" t="s">
        <v>152</v>
      </c>
      <c r="S61" t="s">
        <v>164</v>
      </c>
      <c r="T61">
        <v>60</v>
      </c>
      <c r="U61" s="15">
        <v>0</v>
      </c>
      <c r="V61" s="15" t="str">
        <f t="shared" si="8"/>
        <v>ReadingSet</v>
      </c>
      <c r="W61" s="7" t="str">
        <f t="shared" si="9"/>
        <v>ReadingSet</v>
      </c>
      <c r="X61" s="7" t="str">
        <f>"GET/HEAD: "&amp;VLOOKUP(D61,MODE!A:D,2,FALSE)&amp;", "&amp;E$1&amp;": "&amp;VLOOKUP(E61,MODE!A:D,2,FALSE)&amp;", "&amp;F$1&amp;": "&amp;VLOOKUP(F61,MODE!A:D,2,FALSE)&amp;", "&amp;G$1&amp;": "&amp;VLOOKUP(G61,MODE!A:D,2,FALSE)</f>
        <v>GET/HEAD: Mandatory, PUT: Error, POST: Error, DELETE: Optional</v>
      </c>
      <c r="Y61" s="7" t="b">
        <f t="shared" si="5"/>
        <v>0</v>
      </c>
      <c r="Z61" s="7" t="b">
        <f t="shared" si="6"/>
        <v>0</v>
      </c>
    </row>
    <row r="62" spans="1:26">
      <c r="A62">
        <v>59</v>
      </c>
      <c r="B62" t="s">
        <v>40</v>
      </c>
      <c r="C62" t="str">
        <f t="shared" si="7"/>
        <v>/upt/{id1}/mr/{id2}/rs/{id3}/r</v>
      </c>
      <c r="D62" s="9" t="s">
        <v>171</v>
      </c>
      <c r="E62" s="9" t="s">
        <v>174</v>
      </c>
      <c r="F62" s="9" t="s">
        <v>173</v>
      </c>
      <c r="G62" s="22" t="s">
        <v>174</v>
      </c>
      <c r="I62" s="13" t="s">
        <v>64</v>
      </c>
      <c r="J62">
        <v>58</v>
      </c>
      <c r="K62" s="13">
        <v>1</v>
      </c>
      <c r="L62" s="13">
        <v>1</v>
      </c>
      <c r="M62" s="13">
        <v>0</v>
      </c>
      <c r="N62" s="13">
        <v>0</v>
      </c>
      <c r="O62" s="13">
        <v>3</v>
      </c>
      <c r="P62" t="s">
        <v>244</v>
      </c>
      <c r="R62" t="s">
        <v>152</v>
      </c>
      <c r="S62" t="s">
        <v>164</v>
      </c>
      <c r="T62">
        <v>61</v>
      </c>
      <c r="U62" s="15">
        <v>0</v>
      </c>
      <c r="V62" s="15" t="str">
        <f t="shared" si="8"/>
        <v>Reading</v>
      </c>
      <c r="W62" s="7" t="str">
        <f t="shared" si="9"/>
        <v>ReadingList</v>
      </c>
      <c r="X62" s="7" t="str">
        <f>"GET/HEAD: "&amp;VLOOKUP(D62,MODE!A:D,2,FALSE)&amp;", "&amp;E$1&amp;": "&amp;VLOOKUP(E62,MODE!A:D,2,FALSE)&amp;", "&amp;F$1&amp;": "&amp;VLOOKUP(F62,MODE!A:D,2,FALSE)&amp;", "&amp;G$1&amp;": "&amp;VLOOKUP(G62,MODE!A:D,2,FALSE)</f>
        <v>GET/HEAD: Mandatory, PUT: Error, POST: Optional, DELETE: Error</v>
      </c>
      <c r="Y62" s="7" t="b">
        <f t="shared" si="5"/>
        <v>0</v>
      </c>
      <c r="Z62" s="7" t="b">
        <f t="shared" si="6"/>
        <v>0</v>
      </c>
    </row>
    <row r="63" spans="1:26">
      <c r="A63">
        <v>60</v>
      </c>
      <c r="B63" t="s">
        <v>41</v>
      </c>
      <c r="C63" t="str">
        <f t="shared" si="7"/>
        <v>/upt/{id1}/mr/{id2}/rs/{id3}/r/{id4}</v>
      </c>
      <c r="D63" s="9" t="s">
        <v>171</v>
      </c>
      <c r="E63" s="9" t="s">
        <v>173</v>
      </c>
      <c r="F63" s="9" t="s">
        <v>174</v>
      </c>
      <c r="G63" s="22" t="s">
        <v>173</v>
      </c>
      <c r="I63" s="13" t="s">
        <v>276</v>
      </c>
      <c r="J63">
        <v>59</v>
      </c>
      <c r="K63" s="13">
        <v>0</v>
      </c>
      <c r="L63" s="13">
        <v>0</v>
      </c>
      <c r="M63" s="13">
        <v>1</v>
      </c>
      <c r="N63" s="13">
        <v>0</v>
      </c>
      <c r="O63" s="13">
        <v>4</v>
      </c>
      <c r="P63" t="s">
        <v>204</v>
      </c>
      <c r="R63" t="s">
        <v>152</v>
      </c>
      <c r="S63" t="s">
        <v>164</v>
      </c>
      <c r="T63">
        <v>62</v>
      </c>
      <c r="U63" s="15">
        <v>0</v>
      </c>
      <c r="V63" s="15" t="str">
        <f t="shared" si="8"/>
        <v>Reading</v>
      </c>
      <c r="W63" s="7" t="str">
        <f t="shared" si="9"/>
        <v>Reading</v>
      </c>
      <c r="X63" s="7" t="str">
        <f>"GET/HEAD: "&amp;VLOOKUP(D63,MODE!A:D,2,FALSE)&amp;", "&amp;E$1&amp;": "&amp;VLOOKUP(E63,MODE!A:D,2,FALSE)&amp;", "&amp;F$1&amp;": "&amp;VLOOKUP(F63,MODE!A:D,2,FALSE)&amp;", "&amp;G$1&amp;": "&amp;VLOOKUP(G63,MODE!A:D,2,FALSE)</f>
        <v>GET/HEAD: Mandatory, PUT: Optional, POST: Error, DELETE: Optional</v>
      </c>
      <c r="Y63" s="7" t="b">
        <f t="shared" si="5"/>
        <v>0</v>
      </c>
      <c r="Z63" s="7" t="b">
        <f t="shared" si="6"/>
        <v>0</v>
      </c>
    </row>
    <row r="64" spans="1:26">
      <c r="A64">
        <v>61</v>
      </c>
      <c r="B64" t="s">
        <v>42</v>
      </c>
      <c r="C64" t="str">
        <f t="shared" si="7"/>
        <v>/mup</v>
      </c>
      <c r="D64" s="9" t="s">
        <v>171</v>
      </c>
      <c r="E64" s="9" t="s">
        <v>174</v>
      </c>
      <c r="F64" s="9" t="s">
        <v>171</v>
      </c>
      <c r="G64" s="22" t="s">
        <v>174</v>
      </c>
      <c r="I64" s="13" t="s">
        <v>63</v>
      </c>
      <c r="J64">
        <v>0</v>
      </c>
      <c r="K64" s="13">
        <v>1</v>
      </c>
      <c r="L64" s="13">
        <v>0</v>
      </c>
      <c r="M64" s="13">
        <v>0</v>
      </c>
      <c r="N64" s="13">
        <v>0</v>
      </c>
      <c r="O64" s="13">
        <v>0</v>
      </c>
      <c r="P64" t="s">
        <v>245</v>
      </c>
      <c r="R64" t="s">
        <v>152</v>
      </c>
      <c r="S64" t="s">
        <v>164</v>
      </c>
      <c r="T64">
        <v>63</v>
      </c>
      <c r="U64" s="15">
        <v>0</v>
      </c>
      <c r="V64" s="15" t="str">
        <f t="shared" si="8"/>
        <v>MirrorUsagePoint</v>
      </c>
      <c r="W64" s="7" t="str">
        <f t="shared" si="9"/>
        <v>MirrorUsagePointList</v>
      </c>
      <c r="X64" s="7" t="str">
        <f>"GET/HEAD: "&amp;VLOOKUP(D64,MODE!A:D,2,FALSE)&amp;", "&amp;E$1&amp;": "&amp;VLOOKUP(E64,MODE!A:D,2,FALSE)&amp;", "&amp;F$1&amp;": "&amp;VLOOKUP(F64,MODE!A:D,2,FALSE)&amp;", "&amp;G$1&amp;": "&amp;VLOOKUP(G64,MODE!A:D,2,FALSE)</f>
        <v>GET/HEAD: Mandatory, PUT: Error, POST: Mandatory, DELETE: Error</v>
      </c>
      <c r="Y64" s="7" t="b">
        <f t="shared" si="5"/>
        <v>0</v>
      </c>
      <c r="Z64" s="7" t="b">
        <f t="shared" si="6"/>
        <v>0</v>
      </c>
    </row>
    <row r="65" spans="1:26">
      <c r="A65">
        <v>62</v>
      </c>
      <c r="B65" t="s">
        <v>43</v>
      </c>
      <c r="C65" t="str">
        <f t="shared" si="7"/>
        <v>/mup/{id1}</v>
      </c>
      <c r="D65" s="9" t="s">
        <v>173</v>
      </c>
      <c r="E65" s="9" t="s">
        <v>171</v>
      </c>
      <c r="F65" s="23" t="s">
        <v>171</v>
      </c>
      <c r="G65" s="22" t="s">
        <v>171</v>
      </c>
      <c r="I65" s="13" t="s">
        <v>273</v>
      </c>
      <c r="J65">
        <v>61</v>
      </c>
      <c r="K65" s="13">
        <v>0</v>
      </c>
      <c r="L65" s="13">
        <v>0</v>
      </c>
      <c r="M65" s="13">
        <v>1</v>
      </c>
      <c r="N65" s="13">
        <v>1</v>
      </c>
      <c r="O65" s="13">
        <v>1</v>
      </c>
      <c r="P65" t="s">
        <v>124</v>
      </c>
      <c r="R65" t="s">
        <v>152</v>
      </c>
      <c r="S65" t="s">
        <v>164</v>
      </c>
      <c r="T65">
        <v>64</v>
      </c>
      <c r="U65" s="15">
        <v>0</v>
      </c>
      <c r="V65" s="15" t="str">
        <f t="shared" si="8"/>
        <v>MirrorUsagePoint</v>
      </c>
      <c r="W65" s="7" t="str">
        <f t="shared" si="9"/>
        <v>MirrorUsagePoint</v>
      </c>
      <c r="X65" s="7" t="str">
        <f>"GET/HEAD: "&amp;VLOOKUP(D65,MODE!A:D,2,FALSE)&amp;", "&amp;E$1&amp;": "&amp;VLOOKUP(E65,MODE!A:D,2,FALSE)&amp;", "&amp;F$1&amp;": "&amp;VLOOKUP(F65,MODE!A:D,2,FALSE)&amp;", "&amp;G$1&amp;": "&amp;VLOOKUP(G65,MODE!A:D,2,FALSE)</f>
        <v>GET/HEAD: Optional, PUT: Mandatory, POST: Mandatory, DELETE: Mandatory</v>
      </c>
      <c r="Y65" s="7" t="b">
        <f t="shared" si="5"/>
        <v>0</v>
      </c>
      <c r="Z65" s="7" t="b">
        <f t="shared" si="6"/>
        <v>0</v>
      </c>
    </row>
    <row r="66" spans="1:26">
      <c r="A66">
        <v>63</v>
      </c>
      <c r="B66" t="s">
        <v>44</v>
      </c>
      <c r="C66" t="str">
        <f t="shared" ref="C66:C97" si="10">IF(NOT(J66),"/",VLOOKUP(J66,A:C,3,FALSE)&amp;"/")&amp;IF(M66,"{","")&amp;I66&amp;IF(M66,"}","")</f>
        <v>/tp</v>
      </c>
      <c r="D66" s="9" t="s">
        <v>171</v>
      </c>
      <c r="E66" s="9" t="s">
        <v>174</v>
      </c>
      <c r="F66" s="9" t="s">
        <v>172</v>
      </c>
      <c r="G66" s="22" t="s">
        <v>174</v>
      </c>
      <c r="I66" s="13" t="s">
        <v>65</v>
      </c>
      <c r="J66">
        <v>0</v>
      </c>
      <c r="K66" s="13">
        <v>1</v>
      </c>
      <c r="L66" s="13">
        <v>0</v>
      </c>
      <c r="M66" s="13">
        <v>0</v>
      </c>
      <c r="N66" s="13">
        <v>0</v>
      </c>
      <c r="O66" s="13">
        <v>0</v>
      </c>
      <c r="P66" t="s">
        <v>125</v>
      </c>
      <c r="R66" t="s">
        <v>152</v>
      </c>
      <c r="S66" t="s">
        <v>165</v>
      </c>
      <c r="T66">
        <v>65</v>
      </c>
      <c r="U66" s="15">
        <v>0</v>
      </c>
      <c r="V66" s="15" t="str">
        <f t="shared" ref="V66:V97" si="11">IF(RIGHT(B66,4)="List",LEFT(W66,LEN(W66)-4),W66)</f>
        <v>TariffProfile</v>
      </c>
      <c r="W66" s="7" t="str">
        <f t="shared" ref="W66:W97" si="12">MID(B66,U66+1,99)</f>
        <v>TariffProfileList</v>
      </c>
      <c r="X66" s="7" t="str">
        <f>"GET/HEAD: "&amp;VLOOKUP(D66,MODE!A:D,2,FALSE)&amp;", "&amp;E$1&amp;": "&amp;VLOOKUP(E66,MODE!A:D,2,FALSE)&amp;", "&amp;F$1&amp;": "&amp;VLOOKUP(F66,MODE!A:D,2,FALSE)&amp;", "&amp;G$1&amp;": "&amp;VLOOKUP(G66,MODE!A:D,2,FALSE)</f>
        <v>GET/HEAD: Mandatory, PUT: Error, POST: Discouraged, DELETE: Error</v>
      </c>
      <c r="Y66" s="7" t="b">
        <f t="shared" si="5"/>
        <v>0</v>
      </c>
      <c r="Z66" s="7" t="b">
        <f t="shared" si="6"/>
        <v>1</v>
      </c>
    </row>
    <row r="67" spans="1:26">
      <c r="A67">
        <v>64</v>
      </c>
      <c r="B67" t="s">
        <v>18</v>
      </c>
      <c r="C67" t="str">
        <f t="shared" si="10"/>
        <v>/tp/{id1}</v>
      </c>
      <c r="D67" s="9" t="s">
        <v>171</v>
      </c>
      <c r="E67" s="9" t="s">
        <v>174</v>
      </c>
      <c r="F67" s="9" t="s">
        <v>174</v>
      </c>
      <c r="G67" s="22" t="s">
        <v>172</v>
      </c>
      <c r="I67" s="13" t="s">
        <v>273</v>
      </c>
      <c r="J67">
        <v>63</v>
      </c>
      <c r="K67" s="13">
        <v>0</v>
      </c>
      <c r="L67" s="13">
        <v>0</v>
      </c>
      <c r="M67" s="13">
        <v>1</v>
      </c>
      <c r="N67" s="13">
        <v>1</v>
      </c>
      <c r="O67" s="13">
        <v>1</v>
      </c>
      <c r="P67" t="s">
        <v>126</v>
      </c>
      <c r="R67" t="s">
        <v>152</v>
      </c>
      <c r="S67" t="s">
        <v>165</v>
      </c>
      <c r="T67">
        <v>66</v>
      </c>
      <c r="U67" s="15">
        <v>0</v>
      </c>
      <c r="V67" s="15" t="str">
        <f t="shared" si="11"/>
        <v>TariffProfile</v>
      </c>
      <c r="W67" s="7" t="str">
        <f t="shared" si="12"/>
        <v>TariffProfile</v>
      </c>
      <c r="X67" s="7" t="str">
        <f>"GET/HEAD: "&amp;VLOOKUP(D67,MODE!A:D,2,FALSE)&amp;", "&amp;E$1&amp;": "&amp;VLOOKUP(E67,MODE!A:D,2,FALSE)&amp;", "&amp;F$1&amp;": "&amp;VLOOKUP(F67,MODE!A:D,2,FALSE)&amp;", "&amp;G$1&amp;": "&amp;VLOOKUP(G67,MODE!A:D,2,FALSE)</f>
        <v>GET/HEAD: Mandatory, PUT: Error, POST: Error, DELETE: Discouraged</v>
      </c>
      <c r="Y67" s="7" t="b">
        <f t="shared" si="5"/>
        <v>0</v>
      </c>
      <c r="Z67" s="7" t="b">
        <f t="shared" si="6"/>
        <v>0</v>
      </c>
    </row>
    <row r="68" spans="1:26">
      <c r="A68">
        <v>65</v>
      </c>
      <c r="B68" t="s">
        <v>45</v>
      </c>
      <c r="C68" t="str">
        <f t="shared" si="10"/>
        <v>/tp/{id1}/rc</v>
      </c>
      <c r="D68" s="9" t="s">
        <v>171</v>
      </c>
      <c r="E68" s="9" t="s">
        <v>174</v>
      </c>
      <c r="F68" s="9" t="s">
        <v>172</v>
      </c>
      <c r="G68" s="22" t="s">
        <v>174</v>
      </c>
      <c r="I68" s="13" t="s">
        <v>66</v>
      </c>
      <c r="J68">
        <v>64</v>
      </c>
      <c r="K68" s="13">
        <v>1</v>
      </c>
      <c r="L68" s="13">
        <v>0</v>
      </c>
      <c r="M68" s="13">
        <v>0</v>
      </c>
      <c r="N68" s="13">
        <v>0</v>
      </c>
      <c r="O68" s="13">
        <v>1</v>
      </c>
      <c r="P68" t="s">
        <v>127</v>
      </c>
      <c r="R68" t="s">
        <v>152</v>
      </c>
      <c r="S68" t="s">
        <v>165</v>
      </c>
      <c r="T68">
        <v>67</v>
      </c>
      <c r="U68" s="15">
        <v>0</v>
      </c>
      <c r="V68" s="15" t="str">
        <f t="shared" si="11"/>
        <v>RateComponent</v>
      </c>
      <c r="W68" s="7" t="str">
        <f t="shared" si="12"/>
        <v>RateComponentList</v>
      </c>
      <c r="X68" s="7" t="str">
        <f>"GET/HEAD: "&amp;VLOOKUP(D68,MODE!A:D,2,FALSE)&amp;", "&amp;E$1&amp;": "&amp;VLOOKUP(E68,MODE!A:D,2,FALSE)&amp;", "&amp;F$1&amp;": "&amp;VLOOKUP(F68,MODE!A:D,2,FALSE)&amp;", "&amp;G$1&amp;": "&amp;VLOOKUP(G68,MODE!A:D,2,FALSE)</f>
        <v>GET/HEAD: Mandatory, PUT: Error, POST: Discouraged, DELETE: Error</v>
      </c>
      <c r="Y68" s="7" t="b">
        <f t="shared" si="5"/>
        <v>0</v>
      </c>
      <c r="Z68" s="7" t="b">
        <f t="shared" si="6"/>
        <v>0</v>
      </c>
    </row>
    <row r="69" spans="1:26">
      <c r="A69">
        <v>66</v>
      </c>
      <c r="B69" t="s">
        <v>46</v>
      </c>
      <c r="C69" t="str">
        <f t="shared" si="10"/>
        <v>/tp/{id1}/rc/{id2}</v>
      </c>
      <c r="D69" s="9" t="s">
        <v>171</v>
      </c>
      <c r="E69" s="9" t="s">
        <v>174</v>
      </c>
      <c r="F69" s="9" t="s">
        <v>174</v>
      </c>
      <c r="G69" s="22" t="s">
        <v>172</v>
      </c>
      <c r="I69" s="13" t="s">
        <v>274</v>
      </c>
      <c r="J69">
        <v>65</v>
      </c>
      <c r="K69" s="13">
        <v>0</v>
      </c>
      <c r="L69" s="13">
        <v>0</v>
      </c>
      <c r="M69" s="13">
        <v>1</v>
      </c>
      <c r="N69" s="13">
        <v>1</v>
      </c>
      <c r="O69" s="13">
        <v>2</v>
      </c>
      <c r="P69" t="s">
        <v>128</v>
      </c>
      <c r="R69" t="s">
        <v>152</v>
      </c>
      <c r="S69" t="s">
        <v>165</v>
      </c>
      <c r="T69">
        <v>68</v>
      </c>
      <c r="U69" s="15">
        <v>0</v>
      </c>
      <c r="V69" s="15" t="str">
        <f t="shared" si="11"/>
        <v>RateComponent</v>
      </c>
      <c r="W69" s="7" t="str">
        <f t="shared" si="12"/>
        <v>RateComponent</v>
      </c>
      <c r="X69" s="7" t="str">
        <f>"GET/HEAD: "&amp;VLOOKUP(D69,MODE!A:D,2,FALSE)&amp;", "&amp;E$1&amp;": "&amp;VLOOKUP(E69,MODE!A:D,2,FALSE)&amp;", "&amp;F$1&amp;": "&amp;VLOOKUP(F69,MODE!A:D,2,FALSE)&amp;", "&amp;G$1&amp;": "&amp;VLOOKUP(G69,MODE!A:D,2,FALSE)</f>
        <v>GET/HEAD: Mandatory, PUT: Error, POST: Error, DELETE: Discouraged</v>
      </c>
      <c r="Y69" s="7" t="b">
        <f t="shared" si="5"/>
        <v>0</v>
      </c>
      <c r="Z69" s="7" t="b">
        <f t="shared" si="6"/>
        <v>0</v>
      </c>
    </row>
    <row r="70" spans="1:26">
      <c r="A70">
        <v>67</v>
      </c>
      <c r="B70" t="s">
        <v>49</v>
      </c>
      <c r="C70" t="str">
        <f t="shared" si="10"/>
        <v>/tp/{id1}/rc/{id2}/acttti</v>
      </c>
      <c r="D70" s="9" t="s">
        <v>171</v>
      </c>
      <c r="E70" s="9" t="s">
        <v>174</v>
      </c>
      <c r="F70" s="9" t="s">
        <v>174</v>
      </c>
      <c r="G70" s="22" t="s">
        <v>174</v>
      </c>
      <c r="I70" s="13" t="s">
        <v>67</v>
      </c>
      <c r="J70">
        <v>66</v>
      </c>
      <c r="K70" s="13">
        <v>1</v>
      </c>
      <c r="L70" s="13">
        <v>1</v>
      </c>
      <c r="M70" s="13">
        <v>0</v>
      </c>
      <c r="N70" s="13">
        <v>0</v>
      </c>
      <c r="O70" s="13">
        <v>2</v>
      </c>
      <c r="P70" t="s">
        <v>130</v>
      </c>
      <c r="R70" t="s">
        <v>152</v>
      </c>
      <c r="S70" t="s">
        <v>165</v>
      </c>
      <c r="T70">
        <v>69</v>
      </c>
      <c r="U70" s="15">
        <v>6</v>
      </c>
      <c r="V70" s="15" t="str">
        <f t="shared" si="11"/>
        <v>TimeTariffInterval</v>
      </c>
      <c r="W70" s="7" t="str">
        <f t="shared" si="12"/>
        <v>TimeTariffIntervalList</v>
      </c>
      <c r="X70" s="7" t="str">
        <f>"GET/HEAD: "&amp;VLOOKUP(D70,MODE!A:D,2,FALSE)&amp;", "&amp;E$1&amp;": "&amp;VLOOKUP(E70,MODE!A:D,2,FALSE)&amp;", "&amp;F$1&amp;": "&amp;VLOOKUP(F70,MODE!A:D,2,FALSE)&amp;", "&amp;G$1&amp;": "&amp;VLOOKUP(G70,MODE!A:D,2,FALSE)</f>
        <v>GET/HEAD: Mandatory, PUT: Error, POST: Error, DELETE: Error</v>
      </c>
      <c r="Y70" s="7" t="b">
        <f t="shared" si="5"/>
        <v>0</v>
      </c>
      <c r="Z70" s="7" t="b">
        <f t="shared" si="6"/>
        <v>0</v>
      </c>
    </row>
    <row r="71" spans="1:26">
      <c r="A71">
        <v>68</v>
      </c>
      <c r="B71" t="s">
        <v>47</v>
      </c>
      <c r="C71" t="str">
        <f t="shared" si="10"/>
        <v>/tp/{id1}/rc/{id2}/tti</v>
      </c>
      <c r="D71" s="9" t="s">
        <v>171</v>
      </c>
      <c r="E71" s="9" t="s">
        <v>174</v>
      </c>
      <c r="F71" s="9" t="s">
        <v>172</v>
      </c>
      <c r="G71" s="22" t="s">
        <v>174</v>
      </c>
      <c r="I71" s="13" t="s">
        <v>68</v>
      </c>
      <c r="J71">
        <v>66</v>
      </c>
      <c r="K71" s="13">
        <v>1</v>
      </c>
      <c r="L71" s="13">
        <v>1</v>
      </c>
      <c r="M71" s="13">
        <v>0</v>
      </c>
      <c r="N71" s="13">
        <v>0</v>
      </c>
      <c r="O71" s="13">
        <v>2</v>
      </c>
      <c r="P71" t="s">
        <v>320</v>
      </c>
      <c r="R71" t="s">
        <v>152</v>
      </c>
      <c r="S71" t="s">
        <v>165</v>
      </c>
      <c r="T71">
        <v>70</v>
      </c>
      <c r="U71" s="15">
        <v>0</v>
      </c>
      <c r="V71" s="15" t="str">
        <f t="shared" si="11"/>
        <v>TimeTariffInterval</v>
      </c>
      <c r="W71" s="7" t="str">
        <f t="shared" si="12"/>
        <v>TimeTariffIntervalList</v>
      </c>
      <c r="X71" s="7" t="str">
        <f>"GET/HEAD: "&amp;VLOOKUP(D71,MODE!A:D,2,FALSE)&amp;", "&amp;E$1&amp;": "&amp;VLOOKUP(E71,MODE!A:D,2,FALSE)&amp;", "&amp;F$1&amp;": "&amp;VLOOKUP(F71,MODE!A:D,2,FALSE)&amp;", "&amp;G$1&amp;": "&amp;VLOOKUP(G71,MODE!A:D,2,FALSE)</f>
        <v>GET/HEAD: Mandatory, PUT: Error, POST: Discouraged, DELETE: Error</v>
      </c>
      <c r="Y71" s="7" t="b">
        <f t="shared" si="5"/>
        <v>0</v>
      </c>
      <c r="Z71" s="7" t="b">
        <f t="shared" si="6"/>
        <v>0</v>
      </c>
    </row>
    <row r="72" spans="1:26">
      <c r="A72">
        <v>69</v>
      </c>
      <c r="B72" t="s">
        <v>48</v>
      </c>
      <c r="C72" t="str">
        <f t="shared" si="10"/>
        <v>/tp/{id1}/rc/{id2}/tti/{id3}</v>
      </c>
      <c r="D72" s="9" t="s">
        <v>171</v>
      </c>
      <c r="E72" s="9" t="s">
        <v>174</v>
      </c>
      <c r="F72" s="9" t="s">
        <v>174</v>
      </c>
      <c r="G72" s="22" t="s">
        <v>172</v>
      </c>
      <c r="I72" s="13" t="s">
        <v>275</v>
      </c>
      <c r="J72">
        <v>68</v>
      </c>
      <c r="K72" s="13">
        <v>0</v>
      </c>
      <c r="L72" s="13">
        <v>0</v>
      </c>
      <c r="M72" s="13">
        <v>1</v>
      </c>
      <c r="N72" s="13">
        <v>1</v>
      </c>
      <c r="O72" s="13">
        <v>3</v>
      </c>
      <c r="P72" t="s">
        <v>129</v>
      </c>
      <c r="R72" t="s">
        <v>152</v>
      </c>
      <c r="S72" t="s">
        <v>165</v>
      </c>
      <c r="T72">
        <v>71</v>
      </c>
      <c r="U72" s="15">
        <v>0</v>
      </c>
      <c r="V72" s="15" t="str">
        <f t="shared" si="11"/>
        <v>TimeTariffInterval</v>
      </c>
      <c r="W72" s="7" t="str">
        <f t="shared" si="12"/>
        <v>TimeTariffInterval</v>
      </c>
      <c r="X72" s="7" t="str">
        <f>"GET/HEAD: "&amp;VLOOKUP(D72,MODE!A:D,2,FALSE)&amp;", "&amp;E$1&amp;": "&amp;VLOOKUP(E72,MODE!A:D,2,FALSE)&amp;", "&amp;F$1&amp;": "&amp;VLOOKUP(F72,MODE!A:D,2,FALSE)&amp;", "&amp;G$1&amp;": "&amp;VLOOKUP(G72,MODE!A:D,2,FALSE)</f>
        <v>GET/HEAD: Mandatory, PUT: Error, POST: Error, DELETE: Discouraged</v>
      </c>
      <c r="Y72" s="7" t="b">
        <f t="shared" si="5"/>
        <v>0</v>
      </c>
      <c r="Z72" s="7" t="b">
        <f t="shared" si="6"/>
        <v>0</v>
      </c>
    </row>
    <row r="73" spans="1:26">
      <c r="A73">
        <v>70</v>
      </c>
      <c r="B73" t="s">
        <v>304</v>
      </c>
      <c r="C73" t="str">
        <f t="shared" si="10"/>
        <v>/tp/{id1}/rc/{id2}/tti/{id3}/cti</v>
      </c>
      <c r="D73" s="9" t="s">
        <v>171</v>
      </c>
      <c r="E73" s="9" t="s">
        <v>174</v>
      </c>
      <c r="F73" s="9" t="s">
        <v>172</v>
      </c>
      <c r="G73" s="22" t="s">
        <v>174</v>
      </c>
      <c r="I73" s="13" t="s">
        <v>306</v>
      </c>
      <c r="J73">
        <v>69</v>
      </c>
      <c r="K73" s="13">
        <v>1</v>
      </c>
      <c r="L73" s="13">
        <v>1</v>
      </c>
      <c r="M73" s="13">
        <v>0</v>
      </c>
      <c r="N73" s="13">
        <v>0</v>
      </c>
      <c r="O73" s="13">
        <v>3</v>
      </c>
      <c r="P73" t="s">
        <v>318</v>
      </c>
      <c r="R73" t="s">
        <v>152</v>
      </c>
      <c r="S73" t="s">
        <v>165</v>
      </c>
      <c r="T73">
        <v>72</v>
      </c>
      <c r="U73" s="15">
        <v>0</v>
      </c>
      <c r="V73" s="15" t="str">
        <f t="shared" si="11"/>
        <v>ConsumptionTariffInterval</v>
      </c>
      <c r="W73" s="7" t="str">
        <f t="shared" si="12"/>
        <v>ConsumptionTariffIntervalList</v>
      </c>
      <c r="X73" s="7" t="str">
        <f>"GET/HEAD: "&amp;VLOOKUP(D73,MODE!A:D,2,FALSE)&amp;", "&amp;E$1&amp;": "&amp;VLOOKUP(E73,MODE!A:D,2,FALSE)&amp;", "&amp;F$1&amp;": "&amp;VLOOKUP(F73,MODE!A:D,2,FALSE)&amp;", "&amp;G$1&amp;": "&amp;VLOOKUP(G73,MODE!A:D,2,FALSE)</f>
        <v>GET/HEAD: Mandatory, PUT: Error, POST: Discouraged, DELETE: Error</v>
      </c>
      <c r="Y73" s="7" t="b">
        <f t="shared" si="5"/>
        <v>0</v>
      </c>
      <c r="Z73" s="7" t="b">
        <f t="shared" si="6"/>
        <v>0</v>
      </c>
    </row>
    <row r="74" spans="1:26">
      <c r="A74">
        <v>71</v>
      </c>
      <c r="B74" t="s">
        <v>305</v>
      </c>
      <c r="C74" t="str">
        <f t="shared" si="10"/>
        <v>/tp/{id1}/rc/{id2}/tti/{id3}/cti/{id4}</v>
      </c>
      <c r="D74" s="9" t="s">
        <v>171</v>
      </c>
      <c r="E74" s="9" t="s">
        <v>174</v>
      </c>
      <c r="F74" s="9" t="s">
        <v>174</v>
      </c>
      <c r="G74" s="22" t="s">
        <v>172</v>
      </c>
      <c r="I74" s="13" t="s">
        <v>276</v>
      </c>
      <c r="J74">
        <v>70</v>
      </c>
      <c r="K74" s="13">
        <v>0</v>
      </c>
      <c r="L74" s="13">
        <v>0</v>
      </c>
      <c r="M74" s="13">
        <v>1</v>
      </c>
      <c r="N74" s="13">
        <v>0</v>
      </c>
      <c r="O74" s="13">
        <v>4</v>
      </c>
      <c r="P74" t="s">
        <v>307</v>
      </c>
      <c r="R74" t="s">
        <v>152</v>
      </c>
      <c r="S74" t="s">
        <v>165</v>
      </c>
      <c r="T74">
        <v>73</v>
      </c>
      <c r="U74" s="15">
        <v>0</v>
      </c>
      <c r="V74" s="15" t="str">
        <f t="shared" si="11"/>
        <v>ConsumptionTariffInterval</v>
      </c>
      <c r="W74" s="7" t="str">
        <f t="shared" si="12"/>
        <v>ConsumptionTariffInterval</v>
      </c>
      <c r="X74" s="7" t="str">
        <f>"GET/HEAD: "&amp;VLOOKUP(D74,MODE!A:D,2,FALSE)&amp;", "&amp;E$1&amp;": "&amp;VLOOKUP(E74,MODE!A:D,2,FALSE)&amp;", "&amp;F$1&amp;": "&amp;VLOOKUP(F74,MODE!A:D,2,FALSE)&amp;", "&amp;G$1&amp;": "&amp;VLOOKUP(G74,MODE!A:D,2,FALSE)</f>
        <v>GET/HEAD: Mandatory, PUT: Error, POST: Error, DELETE: Discouraged</v>
      </c>
      <c r="Y74" s="7" t="b">
        <f t="shared" si="5"/>
        <v>0</v>
      </c>
      <c r="Z74" s="7" t="b">
        <f t="shared" si="6"/>
        <v>0</v>
      </c>
    </row>
    <row r="75" spans="1:26">
      <c r="A75">
        <v>72</v>
      </c>
      <c r="B75" t="s">
        <v>93</v>
      </c>
      <c r="C75" t="str">
        <f t="shared" si="10"/>
        <v>/msg</v>
      </c>
      <c r="D75" s="9" t="s">
        <v>171</v>
      </c>
      <c r="E75" s="9" t="s">
        <v>174</v>
      </c>
      <c r="F75" s="9" t="s">
        <v>172</v>
      </c>
      <c r="G75" s="22" t="s">
        <v>174</v>
      </c>
      <c r="I75" s="13" t="s">
        <v>118</v>
      </c>
      <c r="J75">
        <v>0</v>
      </c>
      <c r="K75" s="13">
        <v>1</v>
      </c>
      <c r="L75" s="13">
        <v>0</v>
      </c>
      <c r="M75" s="13">
        <v>0</v>
      </c>
      <c r="N75" s="13">
        <v>0</v>
      </c>
      <c r="O75" s="13">
        <v>0</v>
      </c>
      <c r="P75" t="s">
        <v>269</v>
      </c>
      <c r="R75" t="s">
        <v>152</v>
      </c>
      <c r="S75" t="s">
        <v>166</v>
      </c>
      <c r="T75">
        <v>74</v>
      </c>
      <c r="U75" s="15">
        <v>0</v>
      </c>
      <c r="V75" s="15" t="str">
        <f t="shared" si="11"/>
        <v>MessagingProgram</v>
      </c>
      <c r="W75" s="7" t="str">
        <f t="shared" si="12"/>
        <v>MessagingProgramList</v>
      </c>
      <c r="X75" s="7" t="str">
        <f>"GET/HEAD: "&amp;VLOOKUP(D75,MODE!A:D,2,FALSE)&amp;", "&amp;E$1&amp;": "&amp;VLOOKUP(E75,MODE!A:D,2,FALSE)&amp;", "&amp;F$1&amp;": "&amp;VLOOKUP(F75,MODE!A:D,2,FALSE)&amp;", "&amp;G$1&amp;": "&amp;VLOOKUP(G75,MODE!A:D,2,FALSE)</f>
        <v>GET/HEAD: Mandatory, PUT: Error, POST: Discouraged, DELETE: Error</v>
      </c>
      <c r="Y75" s="7" t="b">
        <f t="shared" si="5"/>
        <v>0</v>
      </c>
      <c r="Z75" s="7" t="b">
        <f t="shared" si="6"/>
        <v>1</v>
      </c>
    </row>
    <row r="76" spans="1:26">
      <c r="A76">
        <v>73</v>
      </c>
      <c r="B76" t="s">
        <v>92</v>
      </c>
      <c r="C76" t="str">
        <f t="shared" si="10"/>
        <v>/msg/{id1}</v>
      </c>
      <c r="D76" s="9" t="s">
        <v>171</v>
      </c>
      <c r="E76" s="9" t="s">
        <v>174</v>
      </c>
      <c r="F76" s="9" t="s">
        <v>174</v>
      </c>
      <c r="G76" s="22" t="s">
        <v>172</v>
      </c>
      <c r="I76" s="13" t="s">
        <v>273</v>
      </c>
      <c r="J76">
        <v>72</v>
      </c>
      <c r="K76" s="13">
        <v>0</v>
      </c>
      <c r="L76" s="13">
        <v>0</v>
      </c>
      <c r="M76" s="13">
        <v>1</v>
      </c>
      <c r="N76" s="13">
        <v>1</v>
      </c>
      <c r="O76" s="13">
        <v>1</v>
      </c>
      <c r="P76" t="s">
        <v>268</v>
      </c>
      <c r="R76" t="s">
        <v>152</v>
      </c>
      <c r="S76" t="s">
        <v>166</v>
      </c>
      <c r="T76">
        <v>75</v>
      </c>
      <c r="U76" s="15">
        <v>0</v>
      </c>
      <c r="V76" s="15" t="str">
        <f t="shared" si="11"/>
        <v>MessagingProgram</v>
      </c>
      <c r="W76" s="7" t="str">
        <f t="shared" si="12"/>
        <v>MessagingProgram</v>
      </c>
      <c r="X76" s="7" t="str">
        <f>"GET/HEAD: "&amp;VLOOKUP(D76,MODE!A:D,2,FALSE)&amp;", "&amp;E$1&amp;": "&amp;VLOOKUP(E76,MODE!A:D,2,FALSE)&amp;", "&amp;F$1&amp;": "&amp;VLOOKUP(F76,MODE!A:D,2,FALSE)&amp;", "&amp;G$1&amp;": "&amp;VLOOKUP(G76,MODE!A:D,2,FALSE)</f>
        <v>GET/HEAD: Mandatory, PUT: Error, POST: Error, DELETE: Discouraged</v>
      </c>
      <c r="Y76" s="7" t="b">
        <f t="shared" si="5"/>
        <v>0</v>
      </c>
      <c r="Z76" s="7" t="b">
        <f t="shared" si="6"/>
        <v>0</v>
      </c>
    </row>
    <row r="77" spans="1:26">
      <c r="A77">
        <v>74</v>
      </c>
      <c r="B77" t="s">
        <v>16</v>
      </c>
      <c r="C77" t="str">
        <f t="shared" si="10"/>
        <v>/msg/{id1}/acttxt</v>
      </c>
      <c r="D77" s="9" t="s">
        <v>171</v>
      </c>
      <c r="E77" s="9" t="s">
        <v>174</v>
      </c>
      <c r="F77" s="9" t="s">
        <v>174</v>
      </c>
      <c r="G77" s="22" t="s">
        <v>174</v>
      </c>
      <c r="I77" s="13" t="s">
        <v>69</v>
      </c>
      <c r="J77">
        <v>73</v>
      </c>
      <c r="K77" s="13">
        <v>1</v>
      </c>
      <c r="L77" s="13">
        <v>1</v>
      </c>
      <c r="M77" s="13">
        <v>0</v>
      </c>
      <c r="N77" s="13">
        <v>0</v>
      </c>
      <c r="O77" s="13">
        <v>1</v>
      </c>
      <c r="P77" t="s">
        <v>319</v>
      </c>
      <c r="R77" t="s">
        <v>152</v>
      </c>
      <c r="S77" t="s">
        <v>166</v>
      </c>
      <c r="T77">
        <v>76</v>
      </c>
      <c r="U77" s="15">
        <v>6</v>
      </c>
      <c r="V77" s="15" t="str">
        <f t="shared" si="11"/>
        <v>TextMessage</v>
      </c>
      <c r="W77" s="7" t="str">
        <f t="shared" si="12"/>
        <v>TextMessageList</v>
      </c>
      <c r="X77" s="7" t="str">
        <f>"GET/HEAD: "&amp;VLOOKUP(D77,MODE!A:D,2,FALSE)&amp;", "&amp;E$1&amp;": "&amp;VLOOKUP(E77,MODE!A:D,2,FALSE)&amp;", "&amp;F$1&amp;": "&amp;VLOOKUP(F77,MODE!A:D,2,FALSE)&amp;", "&amp;G$1&amp;": "&amp;VLOOKUP(G77,MODE!A:D,2,FALSE)</f>
        <v>GET/HEAD: Mandatory, PUT: Error, POST: Error, DELETE: Error</v>
      </c>
      <c r="Y77" s="7" t="b">
        <f t="shared" si="5"/>
        <v>0</v>
      </c>
      <c r="Z77" s="7" t="b">
        <f t="shared" si="6"/>
        <v>0</v>
      </c>
    </row>
    <row r="78" spans="1:26">
      <c r="A78">
        <v>75</v>
      </c>
      <c r="B78" t="s">
        <v>17</v>
      </c>
      <c r="C78" t="str">
        <f t="shared" si="10"/>
        <v>/msg/{id1}/txt</v>
      </c>
      <c r="D78" s="9" t="s">
        <v>171</v>
      </c>
      <c r="E78" s="9" t="s">
        <v>174</v>
      </c>
      <c r="F78" s="9" t="s">
        <v>172</v>
      </c>
      <c r="G78" s="22" t="s">
        <v>174</v>
      </c>
      <c r="I78" s="13" t="s">
        <v>70</v>
      </c>
      <c r="J78">
        <v>73</v>
      </c>
      <c r="K78" s="13">
        <v>1</v>
      </c>
      <c r="L78" s="13">
        <v>1</v>
      </c>
      <c r="M78" s="13">
        <v>0</v>
      </c>
      <c r="N78" s="13">
        <v>0</v>
      </c>
      <c r="O78" s="13">
        <v>1</v>
      </c>
      <c r="P78" t="s">
        <v>317</v>
      </c>
      <c r="R78" t="s">
        <v>152</v>
      </c>
      <c r="S78" t="s">
        <v>166</v>
      </c>
      <c r="T78">
        <v>77</v>
      </c>
      <c r="U78" s="15">
        <v>0</v>
      </c>
      <c r="V78" s="15" t="str">
        <f t="shared" si="11"/>
        <v>TextMessage</v>
      </c>
      <c r="W78" s="7" t="str">
        <f t="shared" si="12"/>
        <v>TextMessageList</v>
      </c>
      <c r="X78" s="7" t="str">
        <f>"GET/HEAD: "&amp;VLOOKUP(D78,MODE!A:D,2,FALSE)&amp;", "&amp;E$1&amp;": "&amp;VLOOKUP(E78,MODE!A:D,2,FALSE)&amp;", "&amp;F$1&amp;": "&amp;VLOOKUP(F78,MODE!A:D,2,FALSE)&amp;", "&amp;G$1&amp;": "&amp;VLOOKUP(G78,MODE!A:D,2,FALSE)</f>
        <v>GET/HEAD: Mandatory, PUT: Error, POST: Discouraged, DELETE: Error</v>
      </c>
      <c r="Y78" s="7" t="b">
        <f t="shared" si="5"/>
        <v>0</v>
      </c>
      <c r="Z78" s="7" t="b">
        <f t="shared" si="6"/>
        <v>0</v>
      </c>
    </row>
    <row r="79" spans="1:26">
      <c r="A79">
        <v>76</v>
      </c>
      <c r="B79" t="s">
        <v>23</v>
      </c>
      <c r="C79" t="str">
        <f t="shared" si="10"/>
        <v>/msg/{id1}/txt/{id2}</v>
      </c>
      <c r="D79" s="9" t="s">
        <v>171</v>
      </c>
      <c r="E79" s="9" t="s">
        <v>174</v>
      </c>
      <c r="F79" s="9" t="s">
        <v>174</v>
      </c>
      <c r="G79" s="22" t="s">
        <v>172</v>
      </c>
      <c r="I79" s="13" t="s">
        <v>274</v>
      </c>
      <c r="J79">
        <v>75</v>
      </c>
      <c r="K79" s="13">
        <v>0</v>
      </c>
      <c r="L79" s="13">
        <v>0</v>
      </c>
      <c r="M79" s="13">
        <v>1</v>
      </c>
      <c r="N79" s="13">
        <v>1</v>
      </c>
      <c r="O79" s="13">
        <v>2</v>
      </c>
      <c r="P79" t="s">
        <v>267</v>
      </c>
      <c r="R79" t="s">
        <v>152</v>
      </c>
      <c r="S79" t="s">
        <v>166</v>
      </c>
      <c r="T79">
        <v>78</v>
      </c>
      <c r="U79" s="15">
        <v>0</v>
      </c>
      <c r="V79" s="15" t="str">
        <f t="shared" si="11"/>
        <v>TextMessage</v>
      </c>
      <c r="W79" s="7" t="str">
        <f t="shared" si="12"/>
        <v>TextMessage</v>
      </c>
      <c r="X79" s="7" t="str">
        <f>"GET/HEAD: "&amp;VLOOKUP(D79,MODE!A:D,2,FALSE)&amp;", "&amp;E$1&amp;": "&amp;VLOOKUP(E79,MODE!A:D,2,FALSE)&amp;", "&amp;F$1&amp;": "&amp;VLOOKUP(F79,MODE!A:D,2,FALSE)&amp;", "&amp;G$1&amp;": "&amp;VLOOKUP(G79,MODE!A:D,2,FALSE)</f>
        <v>GET/HEAD: Mandatory, PUT: Error, POST: Error, DELETE: Discouraged</v>
      </c>
      <c r="Y79" s="7" t="b">
        <f t="shared" si="5"/>
        <v>0</v>
      </c>
      <c r="Z79" s="7" t="b">
        <f t="shared" si="6"/>
        <v>0</v>
      </c>
    </row>
    <row r="80" spans="1:26">
      <c r="A80">
        <v>77</v>
      </c>
      <c r="B80" t="s">
        <v>227</v>
      </c>
      <c r="C80" t="str">
        <f t="shared" si="10"/>
        <v>/bill</v>
      </c>
      <c r="D80" s="9" t="s">
        <v>171</v>
      </c>
      <c r="E80" s="9" t="s">
        <v>174</v>
      </c>
      <c r="F80" s="9" t="s">
        <v>172</v>
      </c>
      <c r="G80" s="22" t="s">
        <v>174</v>
      </c>
      <c r="I80" s="13" t="s">
        <v>310</v>
      </c>
      <c r="J80">
        <v>0</v>
      </c>
      <c r="K80" s="13">
        <v>1</v>
      </c>
      <c r="L80" s="13">
        <v>0</v>
      </c>
      <c r="M80" s="13">
        <v>0</v>
      </c>
      <c r="N80" s="13">
        <v>0</v>
      </c>
      <c r="O80" s="13">
        <v>0</v>
      </c>
      <c r="P80" t="s">
        <v>228</v>
      </c>
      <c r="R80" t="s">
        <v>152</v>
      </c>
      <c r="S80" t="s">
        <v>167</v>
      </c>
      <c r="T80">
        <v>79</v>
      </c>
      <c r="U80" s="15">
        <v>0</v>
      </c>
      <c r="V80" s="15" t="str">
        <f t="shared" si="11"/>
        <v>CustomerAccount</v>
      </c>
      <c r="W80" s="7" t="str">
        <f t="shared" si="12"/>
        <v>CustomerAccountList</v>
      </c>
      <c r="X80" s="7" t="str">
        <f>"GET/HEAD: "&amp;VLOOKUP(D80,MODE!A:D,2,FALSE)&amp;", "&amp;E$1&amp;": "&amp;VLOOKUP(E80,MODE!A:D,2,FALSE)&amp;", "&amp;F$1&amp;": "&amp;VLOOKUP(F80,MODE!A:D,2,FALSE)&amp;", "&amp;G$1&amp;": "&amp;VLOOKUP(G80,MODE!A:D,2,FALSE)</f>
        <v>GET/HEAD: Mandatory, PUT: Error, POST: Discouraged, DELETE: Error</v>
      </c>
      <c r="Y80" s="7" t="b">
        <f t="shared" si="5"/>
        <v>0</v>
      </c>
      <c r="Z80" s="7" t="b">
        <f t="shared" si="6"/>
        <v>1</v>
      </c>
    </row>
    <row r="81" spans="1:26">
      <c r="A81">
        <v>78</v>
      </c>
      <c r="B81" t="s">
        <v>83</v>
      </c>
      <c r="C81" t="str">
        <f t="shared" si="10"/>
        <v>/bill/{id1}</v>
      </c>
      <c r="D81" s="9" t="s">
        <v>171</v>
      </c>
      <c r="E81" s="9" t="s">
        <v>174</v>
      </c>
      <c r="F81" s="9" t="s">
        <v>174</v>
      </c>
      <c r="G81" s="22" t="s">
        <v>172</v>
      </c>
      <c r="I81" s="13" t="s">
        <v>273</v>
      </c>
      <c r="J81">
        <v>77</v>
      </c>
      <c r="K81" s="13">
        <v>0</v>
      </c>
      <c r="L81" s="13">
        <v>0</v>
      </c>
      <c r="M81" s="13">
        <v>1</v>
      </c>
      <c r="N81" s="13">
        <v>1</v>
      </c>
      <c r="O81" s="13">
        <v>1</v>
      </c>
      <c r="P81" t="s">
        <v>316</v>
      </c>
      <c r="R81" t="s">
        <v>152</v>
      </c>
      <c r="S81" t="s">
        <v>167</v>
      </c>
      <c r="T81">
        <v>80</v>
      </c>
      <c r="U81" s="15">
        <v>0</v>
      </c>
      <c r="V81" s="15" t="str">
        <f t="shared" si="11"/>
        <v>CustomerAccount</v>
      </c>
      <c r="W81" s="7" t="str">
        <f t="shared" si="12"/>
        <v>CustomerAccount</v>
      </c>
      <c r="X81" s="7" t="str">
        <f>"GET/HEAD: "&amp;VLOOKUP(D81,MODE!A:D,2,FALSE)&amp;", "&amp;E$1&amp;": "&amp;VLOOKUP(E81,MODE!A:D,2,FALSE)&amp;", "&amp;F$1&amp;": "&amp;VLOOKUP(F81,MODE!A:D,2,FALSE)&amp;", "&amp;G$1&amp;": "&amp;VLOOKUP(G81,MODE!A:D,2,FALSE)</f>
        <v>GET/HEAD: Mandatory, PUT: Error, POST: Error, DELETE: Discouraged</v>
      </c>
      <c r="Y81" s="7" t="b">
        <f t="shared" si="5"/>
        <v>0</v>
      </c>
      <c r="Z81" s="7" t="b">
        <f t="shared" si="6"/>
        <v>0</v>
      </c>
    </row>
    <row r="82" spans="1:26">
      <c r="A82">
        <v>79</v>
      </c>
      <c r="B82" t="s">
        <v>308</v>
      </c>
      <c r="C82" t="str">
        <f t="shared" si="10"/>
        <v>/bill/{id1}/ca</v>
      </c>
      <c r="D82" s="9" t="s">
        <v>171</v>
      </c>
      <c r="E82" s="9" t="s">
        <v>174</v>
      </c>
      <c r="F82" s="9" t="s">
        <v>172</v>
      </c>
      <c r="G82" s="22" t="s">
        <v>174</v>
      </c>
      <c r="I82" s="13" t="s">
        <v>109</v>
      </c>
      <c r="J82">
        <v>78</v>
      </c>
      <c r="K82" s="13">
        <v>1</v>
      </c>
      <c r="L82" s="13">
        <v>1</v>
      </c>
      <c r="M82" s="13">
        <v>0</v>
      </c>
      <c r="N82" s="13">
        <v>0</v>
      </c>
      <c r="O82" s="13">
        <v>1</v>
      </c>
      <c r="P82" t="s">
        <v>311</v>
      </c>
      <c r="R82" t="s">
        <v>152</v>
      </c>
      <c r="S82" t="s">
        <v>167</v>
      </c>
      <c r="T82">
        <v>81</v>
      </c>
      <c r="U82" s="15">
        <v>0</v>
      </c>
      <c r="V82" s="15" t="str">
        <f t="shared" si="11"/>
        <v>CustomerAgreement</v>
      </c>
      <c r="W82" s="7" t="str">
        <f t="shared" si="12"/>
        <v>CustomerAgreementList</v>
      </c>
      <c r="X82" s="7" t="str">
        <f>"GET/HEAD: "&amp;VLOOKUP(D82,MODE!A:D,2,FALSE)&amp;", "&amp;E$1&amp;": "&amp;VLOOKUP(E82,MODE!A:D,2,FALSE)&amp;", "&amp;F$1&amp;": "&amp;VLOOKUP(F82,MODE!A:D,2,FALSE)&amp;", "&amp;G$1&amp;": "&amp;VLOOKUP(G82,MODE!A:D,2,FALSE)</f>
        <v>GET/HEAD: Mandatory, PUT: Error, POST: Discouraged, DELETE: Error</v>
      </c>
      <c r="Y82" s="7" t="b">
        <f t="shared" ref="Y82:Y127" si="13">NOT(R82=R81)</f>
        <v>0</v>
      </c>
      <c r="Z82" s="7" t="b">
        <f t="shared" ref="Z82:Z127" si="14">NOT(S82=S81)</f>
        <v>0</v>
      </c>
    </row>
    <row r="83" spans="1:26">
      <c r="A83">
        <v>80</v>
      </c>
      <c r="B83" t="s">
        <v>309</v>
      </c>
      <c r="C83" t="str">
        <f t="shared" si="10"/>
        <v>/bill/{id1}/ca/{id2}</v>
      </c>
      <c r="D83" s="9" t="s">
        <v>171</v>
      </c>
      <c r="E83" s="9" t="s">
        <v>174</v>
      </c>
      <c r="F83" s="9" t="s">
        <v>174</v>
      </c>
      <c r="G83" s="22" t="s">
        <v>172</v>
      </c>
      <c r="I83" s="13" t="s">
        <v>274</v>
      </c>
      <c r="J83">
        <v>79</v>
      </c>
      <c r="K83" s="13">
        <v>0</v>
      </c>
      <c r="L83" s="13">
        <v>0</v>
      </c>
      <c r="M83" s="13">
        <v>1</v>
      </c>
      <c r="N83" s="13">
        <v>1</v>
      </c>
      <c r="O83" s="13">
        <v>2</v>
      </c>
      <c r="P83" t="s">
        <v>312</v>
      </c>
      <c r="R83" t="s">
        <v>152</v>
      </c>
      <c r="S83" t="s">
        <v>167</v>
      </c>
      <c r="T83">
        <v>82</v>
      </c>
      <c r="U83" s="15">
        <v>0</v>
      </c>
      <c r="V83" s="15" t="str">
        <f t="shared" si="11"/>
        <v>CustomerAgreement</v>
      </c>
      <c r="W83" s="7" t="str">
        <f t="shared" si="12"/>
        <v>CustomerAgreement</v>
      </c>
      <c r="X83" s="7" t="str">
        <f>"GET/HEAD: "&amp;VLOOKUP(D83,MODE!A:D,2,FALSE)&amp;", "&amp;E$1&amp;": "&amp;VLOOKUP(E83,MODE!A:D,2,FALSE)&amp;", "&amp;F$1&amp;": "&amp;VLOOKUP(F83,MODE!A:D,2,FALSE)&amp;", "&amp;G$1&amp;": "&amp;VLOOKUP(G83,MODE!A:D,2,FALSE)</f>
        <v>GET/HEAD: Mandatory, PUT: Error, POST: Error, DELETE: Discouraged</v>
      </c>
      <c r="Y83" s="7" t="b">
        <f t="shared" si="13"/>
        <v>0</v>
      </c>
      <c r="Z83" s="7" t="b">
        <f t="shared" si="14"/>
        <v>0</v>
      </c>
    </row>
    <row r="84" spans="1:26">
      <c r="A84">
        <v>81</v>
      </c>
      <c r="B84" t="s">
        <v>148</v>
      </c>
      <c r="C84" t="str">
        <f t="shared" si="10"/>
        <v>/bill/{id1}/ca/{id2}/actbp</v>
      </c>
      <c r="D84" s="9" t="s">
        <v>171</v>
      </c>
      <c r="E84" s="9" t="s">
        <v>174</v>
      </c>
      <c r="F84" s="9" t="s">
        <v>174</v>
      </c>
      <c r="G84" s="22" t="s">
        <v>174</v>
      </c>
      <c r="I84" s="13" t="s">
        <v>150</v>
      </c>
      <c r="J84">
        <v>80</v>
      </c>
      <c r="K84" s="13">
        <v>1</v>
      </c>
      <c r="L84" s="13">
        <v>0</v>
      </c>
      <c r="M84" s="13">
        <v>0</v>
      </c>
      <c r="N84" s="13">
        <v>0</v>
      </c>
      <c r="O84" s="13">
        <v>2</v>
      </c>
      <c r="P84" t="s">
        <v>294</v>
      </c>
      <c r="R84" t="s">
        <v>152</v>
      </c>
      <c r="S84" t="s">
        <v>167</v>
      </c>
      <c r="T84">
        <v>83</v>
      </c>
      <c r="U84" s="15">
        <v>6</v>
      </c>
      <c r="V84" s="15" t="str">
        <f t="shared" si="11"/>
        <v>BillingPeriod</v>
      </c>
      <c r="W84" s="7" t="str">
        <f t="shared" si="12"/>
        <v>BillingPeriodList</v>
      </c>
      <c r="X84" s="7" t="str">
        <f>"GET/HEAD: "&amp;VLOOKUP(D84,MODE!A:D,2,FALSE)&amp;", "&amp;E$1&amp;": "&amp;VLOOKUP(E84,MODE!A:D,2,FALSE)&amp;", "&amp;F$1&amp;": "&amp;VLOOKUP(F84,MODE!A:D,2,FALSE)&amp;", "&amp;G$1&amp;": "&amp;VLOOKUP(G84,MODE!A:D,2,FALSE)</f>
        <v>GET/HEAD: Mandatory, PUT: Error, POST: Error, DELETE: Error</v>
      </c>
      <c r="Y84" s="7" t="b">
        <f t="shared" si="13"/>
        <v>0</v>
      </c>
      <c r="Z84" s="7" t="b">
        <f t="shared" si="14"/>
        <v>0</v>
      </c>
    </row>
    <row r="85" spans="1:26">
      <c r="A85">
        <v>82</v>
      </c>
      <c r="B85" t="s">
        <v>22</v>
      </c>
      <c r="C85" t="str">
        <f t="shared" si="10"/>
        <v>/bill/{id1}/ca/{id2}/bp</v>
      </c>
      <c r="D85" s="9" t="s">
        <v>171</v>
      </c>
      <c r="E85" s="9" t="s">
        <v>174</v>
      </c>
      <c r="F85" s="9" t="s">
        <v>172</v>
      </c>
      <c r="G85" s="22" t="s">
        <v>174</v>
      </c>
      <c r="I85" s="13" t="s">
        <v>71</v>
      </c>
      <c r="J85">
        <v>80</v>
      </c>
      <c r="K85" s="13">
        <v>1</v>
      </c>
      <c r="L85" s="13">
        <v>1</v>
      </c>
      <c r="M85" s="13">
        <v>0</v>
      </c>
      <c r="N85" s="13">
        <v>0</v>
      </c>
      <c r="O85" s="13">
        <v>2</v>
      </c>
      <c r="P85" t="s">
        <v>131</v>
      </c>
      <c r="R85" t="s">
        <v>152</v>
      </c>
      <c r="S85" t="s">
        <v>167</v>
      </c>
      <c r="T85">
        <v>84</v>
      </c>
      <c r="U85" s="15">
        <v>0</v>
      </c>
      <c r="V85" s="15" t="str">
        <f t="shared" si="11"/>
        <v>BillingPeriod</v>
      </c>
      <c r="W85" s="7" t="str">
        <f t="shared" si="12"/>
        <v>BillingPeriodList</v>
      </c>
      <c r="X85" s="7" t="str">
        <f>"GET/HEAD: "&amp;VLOOKUP(D85,MODE!A:D,2,FALSE)&amp;", "&amp;E$1&amp;": "&amp;VLOOKUP(E85,MODE!A:D,2,FALSE)&amp;", "&amp;F$1&amp;": "&amp;VLOOKUP(F85,MODE!A:D,2,FALSE)&amp;", "&amp;G$1&amp;": "&amp;VLOOKUP(G85,MODE!A:D,2,FALSE)</f>
        <v>GET/HEAD: Mandatory, PUT: Error, POST: Discouraged, DELETE: Error</v>
      </c>
      <c r="Y85" s="7" t="b">
        <f t="shared" si="13"/>
        <v>0</v>
      </c>
      <c r="Z85" s="7" t="b">
        <f t="shared" si="14"/>
        <v>0</v>
      </c>
    </row>
    <row r="86" spans="1:26">
      <c r="A86">
        <v>83</v>
      </c>
      <c r="B86" t="s">
        <v>24</v>
      </c>
      <c r="C86" t="str">
        <f t="shared" si="10"/>
        <v>/bill/{id1}/ca/{id2}/bp/{id3}</v>
      </c>
      <c r="D86" s="9" t="s">
        <v>171</v>
      </c>
      <c r="E86" s="9" t="s">
        <v>172</v>
      </c>
      <c r="F86" s="9" t="s">
        <v>174</v>
      </c>
      <c r="G86" s="22" t="s">
        <v>172</v>
      </c>
      <c r="I86" s="13" t="s">
        <v>275</v>
      </c>
      <c r="J86">
        <v>82</v>
      </c>
      <c r="K86" s="13">
        <v>0</v>
      </c>
      <c r="L86" s="13">
        <v>0</v>
      </c>
      <c r="M86" s="13">
        <v>1</v>
      </c>
      <c r="N86" s="13">
        <v>0</v>
      </c>
      <c r="O86" s="13">
        <v>3</v>
      </c>
      <c r="P86" t="s">
        <v>132</v>
      </c>
      <c r="R86" t="s">
        <v>152</v>
      </c>
      <c r="S86" t="s">
        <v>167</v>
      </c>
      <c r="T86">
        <v>85</v>
      </c>
      <c r="U86" s="15">
        <v>0</v>
      </c>
      <c r="V86" s="15" t="str">
        <f t="shared" si="11"/>
        <v>BillingPeriod</v>
      </c>
      <c r="W86" s="7" t="str">
        <f t="shared" si="12"/>
        <v>BillingPeriod</v>
      </c>
      <c r="X86" s="7" t="str">
        <f>"GET/HEAD: "&amp;VLOOKUP(D86,MODE!A:D,2,FALSE)&amp;", "&amp;E$1&amp;": "&amp;VLOOKUP(E86,MODE!A:D,2,FALSE)&amp;", "&amp;F$1&amp;": "&amp;VLOOKUP(F86,MODE!A:D,2,FALSE)&amp;", "&amp;G$1&amp;": "&amp;VLOOKUP(G86,MODE!A:D,2,FALSE)</f>
        <v>GET/HEAD: Mandatory, PUT: Discouraged, POST: Error, DELETE: Discouraged</v>
      </c>
      <c r="Y86" s="7" t="b">
        <f t="shared" si="13"/>
        <v>0</v>
      </c>
      <c r="Z86" s="7" t="b">
        <f t="shared" si="14"/>
        <v>0</v>
      </c>
    </row>
    <row r="87" spans="1:26">
      <c r="A87">
        <v>84</v>
      </c>
      <c r="B87" t="s">
        <v>100</v>
      </c>
      <c r="C87" t="str">
        <f t="shared" si="10"/>
        <v>/bill/{id1}/ca/{id2}/pro</v>
      </c>
      <c r="D87" s="9" t="s">
        <v>171</v>
      </c>
      <c r="E87" s="9" t="s">
        <v>174</v>
      </c>
      <c r="F87" s="9" t="s">
        <v>172</v>
      </c>
      <c r="G87" s="22" t="s">
        <v>174</v>
      </c>
      <c r="I87" s="13" t="s">
        <v>111</v>
      </c>
      <c r="J87">
        <v>80</v>
      </c>
      <c r="K87" s="13">
        <v>1</v>
      </c>
      <c r="L87" s="13">
        <v>1</v>
      </c>
      <c r="M87" s="13">
        <v>0</v>
      </c>
      <c r="N87" s="13">
        <v>0</v>
      </c>
      <c r="O87" s="13">
        <v>2</v>
      </c>
      <c r="P87" t="s">
        <v>315</v>
      </c>
      <c r="R87" t="s">
        <v>152</v>
      </c>
      <c r="S87" t="s">
        <v>167</v>
      </c>
      <c r="T87">
        <v>86</v>
      </c>
      <c r="U87" s="15">
        <v>0</v>
      </c>
      <c r="V87" s="15" t="str">
        <f t="shared" si="11"/>
        <v>ProjectionReading</v>
      </c>
      <c r="W87" s="7" t="str">
        <f t="shared" si="12"/>
        <v>ProjectionReadingList</v>
      </c>
      <c r="X87" s="7" t="str">
        <f>"GET/HEAD: "&amp;VLOOKUP(D87,MODE!A:D,2,FALSE)&amp;", "&amp;E$1&amp;": "&amp;VLOOKUP(E87,MODE!A:D,2,FALSE)&amp;", "&amp;F$1&amp;": "&amp;VLOOKUP(F87,MODE!A:D,2,FALSE)&amp;", "&amp;G$1&amp;": "&amp;VLOOKUP(G87,MODE!A:D,2,FALSE)</f>
        <v>GET/HEAD: Mandatory, PUT: Error, POST: Discouraged, DELETE: Error</v>
      </c>
      <c r="Y87" s="7" t="b">
        <f t="shared" si="13"/>
        <v>0</v>
      </c>
      <c r="Z87" s="7" t="b">
        <f t="shared" si="14"/>
        <v>0</v>
      </c>
    </row>
    <row r="88" spans="1:26">
      <c r="A88">
        <v>85</v>
      </c>
      <c r="B88" t="s">
        <v>99</v>
      </c>
      <c r="C88" t="str">
        <f t="shared" si="10"/>
        <v>/bill/{id1}/ca/{id2}/pro/{id3}</v>
      </c>
      <c r="D88" s="9" t="s">
        <v>171</v>
      </c>
      <c r="E88" s="9" t="s">
        <v>172</v>
      </c>
      <c r="F88" s="9" t="s">
        <v>174</v>
      </c>
      <c r="G88" s="22" t="s">
        <v>172</v>
      </c>
      <c r="I88" s="13" t="s">
        <v>275</v>
      </c>
      <c r="J88">
        <v>84</v>
      </c>
      <c r="K88" s="13">
        <v>0</v>
      </c>
      <c r="L88" s="13">
        <v>0</v>
      </c>
      <c r="M88" s="13">
        <v>1</v>
      </c>
      <c r="N88" s="13">
        <v>1</v>
      </c>
      <c r="O88" s="13">
        <v>3</v>
      </c>
      <c r="P88" t="s">
        <v>295</v>
      </c>
      <c r="R88" t="s">
        <v>152</v>
      </c>
      <c r="S88" t="s">
        <v>167</v>
      </c>
      <c r="T88">
        <v>87</v>
      </c>
      <c r="U88" s="15">
        <v>0</v>
      </c>
      <c r="V88" s="15" t="str">
        <f t="shared" si="11"/>
        <v>ProjectionReading</v>
      </c>
      <c r="W88" s="7" t="str">
        <f t="shared" si="12"/>
        <v>ProjectionReading</v>
      </c>
      <c r="X88" s="7" t="str">
        <f>"GET/HEAD: "&amp;VLOOKUP(D88,MODE!A:D,2,FALSE)&amp;", "&amp;E$1&amp;": "&amp;VLOOKUP(E88,MODE!A:D,2,FALSE)&amp;", "&amp;F$1&amp;": "&amp;VLOOKUP(F88,MODE!A:D,2,FALSE)&amp;", "&amp;G$1&amp;": "&amp;VLOOKUP(G88,MODE!A:D,2,FALSE)</f>
        <v>GET/HEAD: Mandatory, PUT: Discouraged, POST: Error, DELETE: Discouraged</v>
      </c>
      <c r="Y88" s="7" t="b">
        <f t="shared" si="13"/>
        <v>0</v>
      </c>
      <c r="Z88" s="7" t="b">
        <f t="shared" si="14"/>
        <v>0</v>
      </c>
    </row>
    <row r="89" spans="1:26">
      <c r="A89">
        <v>86</v>
      </c>
      <c r="B89" t="s">
        <v>326</v>
      </c>
      <c r="C89" t="str">
        <f t="shared" si="10"/>
        <v>/brs</v>
      </c>
      <c r="D89" s="9" t="s">
        <v>171</v>
      </c>
      <c r="E89" s="9" t="s">
        <v>174</v>
      </c>
      <c r="F89" s="9" t="s">
        <v>172</v>
      </c>
      <c r="G89" s="22" t="s">
        <v>174</v>
      </c>
      <c r="I89" s="13" t="s">
        <v>328</v>
      </c>
      <c r="J89">
        <v>0</v>
      </c>
      <c r="K89" s="13">
        <v>1</v>
      </c>
      <c r="L89" s="13">
        <v>1</v>
      </c>
      <c r="M89" s="13">
        <v>0</v>
      </c>
      <c r="N89" s="13">
        <v>0</v>
      </c>
      <c r="O89" s="13">
        <v>0</v>
      </c>
      <c r="P89" t="s">
        <v>331</v>
      </c>
      <c r="R89" t="s">
        <v>152</v>
      </c>
      <c r="S89" t="s">
        <v>167</v>
      </c>
      <c r="T89">
        <v>88</v>
      </c>
      <c r="U89" s="15">
        <v>0</v>
      </c>
      <c r="V89" s="15" t="str">
        <f t="shared" si="11"/>
        <v>BillingReadingSet</v>
      </c>
      <c r="W89" s="7" t="str">
        <f t="shared" si="12"/>
        <v>BillingReadingSetList</v>
      </c>
      <c r="X89" s="7" t="str">
        <f>"GET/HEAD: "&amp;VLOOKUP(D89,MODE!A:D,2,FALSE)&amp;", "&amp;E$1&amp;": "&amp;VLOOKUP(E89,MODE!A:D,2,FALSE)&amp;", "&amp;F$1&amp;": "&amp;VLOOKUP(F89,MODE!A:D,2,FALSE)&amp;", "&amp;G$1&amp;": "&amp;VLOOKUP(G89,MODE!A:D,2,FALSE)</f>
        <v>GET/HEAD: Mandatory, PUT: Error, POST: Discouraged, DELETE: Error</v>
      </c>
      <c r="Y89" s="7" t="b">
        <f t="shared" si="13"/>
        <v>0</v>
      </c>
      <c r="Z89" s="7" t="b">
        <f t="shared" si="14"/>
        <v>0</v>
      </c>
    </row>
    <row r="90" spans="1:26">
      <c r="A90">
        <v>87</v>
      </c>
      <c r="B90" t="s">
        <v>327</v>
      </c>
      <c r="C90" t="str">
        <f t="shared" si="10"/>
        <v>/brs/{id1}</v>
      </c>
      <c r="D90" s="9" t="s">
        <v>171</v>
      </c>
      <c r="E90" s="9" t="s">
        <v>174</v>
      </c>
      <c r="F90" s="9" t="s">
        <v>174</v>
      </c>
      <c r="G90" s="22" t="s">
        <v>172</v>
      </c>
      <c r="I90" s="13" t="s">
        <v>273</v>
      </c>
      <c r="J90">
        <v>86</v>
      </c>
      <c r="K90" s="13">
        <v>0</v>
      </c>
      <c r="L90" s="13">
        <v>0</v>
      </c>
      <c r="M90" s="13">
        <v>1</v>
      </c>
      <c r="N90" s="13">
        <v>1</v>
      </c>
      <c r="O90" s="13">
        <v>1</v>
      </c>
      <c r="P90" t="s">
        <v>332</v>
      </c>
      <c r="R90" t="s">
        <v>152</v>
      </c>
      <c r="S90" t="s">
        <v>167</v>
      </c>
      <c r="T90">
        <v>89</v>
      </c>
      <c r="U90" s="15">
        <v>0</v>
      </c>
      <c r="V90" s="15" t="str">
        <f t="shared" si="11"/>
        <v>BillingReadingSet</v>
      </c>
      <c r="W90" s="7" t="str">
        <f t="shared" si="12"/>
        <v>BillingReadingSet</v>
      </c>
      <c r="X90" s="7" t="str">
        <f>"GET/HEAD: "&amp;VLOOKUP(D90,MODE!A:D,2,FALSE)&amp;", "&amp;E$1&amp;": "&amp;VLOOKUP(E90,MODE!A:D,2,FALSE)&amp;", "&amp;F$1&amp;": "&amp;VLOOKUP(F90,MODE!A:D,2,FALSE)&amp;", "&amp;G$1&amp;": "&amp;VLOOKUP(G90,MODE!A:D,2,FALSE)</f>
        <v>GET/HEAD: Mandatory, PUT: Error, POST: Error, DELETE: Discouraged</v>
      </c>
      <c r="Y90" s="7" t="b">
        <f t="shared" si="13"/>
        <v>0</v>
      </c>
      <c r="Z90" s="7" t="b">
        <f t="shared" si="14"/>
        <v>0</v>
      </c>
    </row>
    <row r="91" spans="1:26">
      <c r="A91">
        <v>88</v>
      </c>
      <c r="B91" t="s">
        <v>329</v>
      </c>
      <c r="C91" t="str">
        <f t="shared" si="10"/>
        <v>/brs/{id1}/br</v>
      </c>
      <c r="D91" s="9" t="s">
        <v>171</v>
      </c>
      <c r="E91" s="9" t="s">
        <v>174</v>
      </c>
      <c r="F91" s="9" t="s">
        <v>172</v>
      </c>
      <c r="G91" s="22" t="s">
        <v>174</v>
      </c>
      <c r="I91" s="13" t="s">
        <v>335</v>
      </c>
      <c r="J91">
        <v>87</v>
      </c>
      <c r="K91" s="13">
        <v>1</v>
      </c>
      <c r="L91" s="13">
        <v>1</v>
      </c>
      <c r="M91" s="13">
        <v>0</v>
      </c>
      <c r="N91" s="13">
        <v>0</v>
      </c>
      <c r="O91" s="13">
        <v>1</v>
      </c>
      <c r="P91" t="s">
        <v>333</v>
      </c>
      <c r="R91" t="s">
        <v>152</v>
      </c>
      <c r="S91" t="s">
        <v>167</v>
      </c>
      <c r="T91">
        <v>90</v>
      </c>
      <c r="U91" s="15">
        <v>0</v>
      </c>
      <c r="V91" s="15" t="str">
        <f t="shared" si="11"/>
        <v>BillingReading</v>
      </c>
      <c r="W91" s="7" t="str">
        <f t="shared" si="12"/>
        <v>BillingReadingList</v>
      </c>
      <c r="X91" s="7" t="str">
        <f>"GET/HEAD: "&amp;VLOOKUP(D91,MODE!A:D,2,FALSE)&amp;", "&amp;E$1&amp;": "&amp;VLOOKUP(E91,MODE!A:D,2,FALSE)&amp;", "&amp;F$1&amp;": "&amp;VLOOKUP(F91,MODE!A:D,2,FALSE)&amp;", "&amp;G$1&amp;": "&amp;VLOOKUP(G91,MODE!A:D,2,FALSE)</f>
        <v>GET/HEAD: Mandatory, PUT: Error, POST: Discouraged, DELETE: Error</v>
      </c>
      <c r="Y91" s="7" t="b">
        <f t="shared" si="13"/>
        <v>0</v>
      </c>
      <c r="Z91" s="7" t="b">
        <f t="shared" si="14"/>
        <v>0</v>
      </c>
    </row>
    <row r="92" spans="1:26">
      <c r="A92">
        <v>89</v>
      </c>
      <c r="B92" t="s">
        <v>330</v>
      </c>
      <c r="C92" t="str">
        <f t="shared" si="10"/>
        <v>/brs/{id1}/br/{id2}</v>
      </c>
      <c r="D92" s="9" t="s">
        <v>171</v>
      </c>
      <c r="E92" s="9" t="s">
        <v>172</v>
      </c>
      <c r="F92" s="9" t="s">
        <v>174</v>
      </c>
      <c r="G92" s="22" t="s">
        <v>172</v>
      </c>
      <c r="I92" s="13" t="s">
        <v>274</v>
      </c>
      <c r="J92">
        <v>88</v>
      </c>
      <c r="K92" s="13">
        <v>0</v>
      </c>
      <c r="L92" s="13">
        <v>0</v>
      </c>
      <c r="M92" s="13">
        <v>1</v>
      </c>
      <c r="N92" s="13">
        <v>0</v>
      </c>
      <c r="O92" s="13">
        <v>2</v>
      </c>
      <c r="P92" t="s">
        <v>334</v>
      </c>
      <c r="R92" t="s">
        <v>152</v>
      </c>
      <c r="S92" t="s">
        <v>167</v>
      </c>
      <c r="T92">
        <v>91</v>
      </c>
      <c r="U92" s="15">
        <v>0</v>
      </c>
      <c r="V92" s="15" t="str">
        <f t="shared" si="11"/>
        <v>BillingReading</v>
      </c>
      <c r="W92" s="7" t="str">
        <f t="shared" si="12"/>
        <v>BillingReading</v>
      </c>
      <c r="X92" s="7" t="str">
        <f>"GET/HEAD: "&amp;VLOOKUP(D92,MODE!A:D,2,FALSE)&amp;", "&amp;E$1&amp;": "&amp;VLOOKUP(E92,MODE!A:D,2,FALSE)&amp;", "&amp;F$1&amp;": "&amp;VLOOKUP(F92,MODE!A:D,2,FALSE)&amp;", "&amp;G$1&amp;": "&amp;VLOOKUP(G92,MODE!A:D,2,FALSE)</f>
        <v>GET/HEAD: Mandatory, PUT: Discouraged, POST: Error, DELETE: Discouraged</v>
      </c>
      <c r="Y92" s="7" t="b">
        <f t="shared" si="13"/>
        <v>0</v>
      </c>
      <c r="Z92" s="7" t="b">
        <f t="shared" si="14"/>
        <v>0</v>
      </c>
    </row>
    <row r="93" spans="1:26">
      <c r="A93">
        <v>90</v>
      </c>
      <c r="B93" t="s">
        <v>105</v>
      </c>
      <c r="C93" t="str">
        <f t="shared" si="10"/>
        <v>/bill/{id1}/ca/{id2}/tar</v>
      </c>
      <c r="D93" s="9" t="s">
        <v>171</v>
      </c>
      <c r="E93" s="9" t="s">
        <v>174</v>
      </c>
      <c r="F93" s="9" t="s">
        <v>172</v>
      </c>
      <c r="G93" s="22" t="s">
        <v>174</v>
      </c>
      <c r="I93" s="13" t="s">
        <v>112</v>
      </c>
      <c r="J93">
        <v>80</v>
      </c>
      <c r="K93" s="13">
        <v>1</v>
      </c>
      <c r="L93" s="13">
        <v>1</v>
      </c>
      <c r="M93" s="13">
        <v>0</v>
      </c>
      <c r="N93" s="13">
        <v>0</v>
      </c>
      <c r="O93" s="13">
        <v>2</v>
      </c>
      <c r="P93" t="s">
        <v>252</v>
      </c>
      <c r="R93" t="s">
        <v>152</v>
      </c>
      <c r="S93" t="s">
        <v>167</v>
      </c>
      <c r="T93">
        <v>92</v>
      </c>
      <c r="U93" s="15">
        <v>0</v>
      </c>
      <c r="V93" s="15" t="str">
        <f t="shared" si="11"/>
        <v>TargetReading</v>
      </c>
      <c r="W93" s="7" t="str">
        <f t="shared" si="12"/>
        <v>TargetReadingList</v>
      </c>
      <c r="X93" s="7" t="str">
        <f>"GET/HEAD: "&amp;VLOOKUP(D93,MODE!A:D,2,FALSE)&amp;", "&amp;E$1&amp;": "&amp;VLOOKUP(E93,MODE!A:D,2,FALSE)&amp;", "&amp;F$1&amp;": "&amp;VLOOKUP(F93,MODE!A:D,2,FALSE)&amp;", "&amp;G$1&amp;": "&amp;VLOOKUP(G93,MODE!A:D,2,FALSE)</f>
        <v>GET/HEAD: Mandatory, PUT: Error, POST: Discouraged, DELETE: Error</v>
      </c>
      <c r="Y93" s="7" t="b">
        <f t="shared" si="13"/>
        <v>0</v>
      </c>
      <c r="Z93" s="7" t="b">
        <f t="shared" si="14"/>
        <v>0</v>
      </c>
    </row>
    <row r="94" spans="1:26">
      <c r="A94">
        <v>91</v>
      </c>
      <c r="B94" t="s">
        <v>104</v>
      </c>
      <c r="C94" t="str">
        <f t="shared" si="10"/>
        <v>/bill/{id1}/ca/{id2}/tar/{id3}</v>
      </c>
      <c r="D94" s="9" t="s">
        <v>171</v>
      </c>
      <c r="E94" s="9" t="s">
        <v>174</v>
      </c>
      <c r="F94" s="9" t="s">
        <v>174</v>
      </c>
      <c r="G94" s="22" t="s">
        <v>172</v>
      </c>
      <c r="I94" s="13" t="s">
        <v>275</v>
      </c>
      <c r="J94">
        <v>90</v>
      </c>
      <c r="K94" s="13">
        <v>0</v>
      </c>
      <c r="L94" s="13">
        <v>0</v>
      </c>
      <c r="M94" s="13">
        <v>1</v>
      </c>
      <c r="N94" s="13">
        <v>1</v>
      </c>
      <c r="O94" s="13">
        <v>3</v>
      </c>
      <c r="P94" t="s">
        <v>296</v>
      </c>
      <c r="R94" t="s">
        <v>152</v>
      </c>
      <c r="S94" t="s">
        <v>167</v>
      </c>
      <c r="T94">
        <v>93</v>
      </c>
      <c r="U94" s="15">
        <v>0</v>
      </c>
      <c r="V94" s="15" t="str">
        <f t="shared" si="11"/>
        <v>TargetReading</v>
      </c>
      <c r="W94" s="7" t="str">
        <f t="shared" si="12"/>
        <v>TargetReading</v>
      </c>
      <c r="X94" s="7" t="str">
        <f>"GET/HEAD: "&amp;VLOOKUP(D94,MODE!A:D,2,FALSE)&amp;", "&amp;E$1&amp;": "&amp;VLOOKUP(E94,MODE!A:D,2,FALSE)&amp;", "&amp;F$1&amp;": "&amp;VLOOKUP(F94,MODE!A:D,2,FALSE)&amp;", "&amp;G$1&amp;": "&amp;VLOOKUP(G94,MODE!A:D,2,FALSE)</f>
        <v>GET/HEAD: Mandatory, PUT: Error, POST: Error, DELETE: Discouraged</v>
      </c>
      <c r="Y94" s="7" t="b">
        <f t="shared" si="13"/>
        <v>0</v>
      </c>
      <c r="Z94" s="7" t="b">
        <f t="shared" si="14"/>
        <v>0</v>
      </c>
    </row>
    <row r="95" spans="1:26">
      <c r="A95">
        <v>92</v>
      </c>
      <c r="B95" t="s">
        <v>89</v>
      </c>
      <c r="C95" t="str">
        <f t="shared" si="10"/>
        <v>/bill/{id1}/ca/{id2}/ver</v>
      </c>
      <c r="D95" s="9" t="s">
        <v>171</v>
      </c>
      <c r="E95" s="9" t="s">
        <v>174</v>
      </c>
      <c r="F95" s="9" t="s">
        <v>172</v>
      </c>
      <c r="G95" s="22" t="s">
        <v>174</v>
      </c>
      <c r="I95" s="13" t="s">
        <v>110</v>
      </c>
      <c r="J95">
        <v>80</v>
      </c>
      <c r="K95" s="13">
        <v>1</v>
      </c>
      <c r="L95" s="13">
        <v>1</v>
      </c>
      <c r="M95" s="13">
        <v>0</v>
      </c>
      <c r="N95" s="13">
        <v>0</v>
      </c>
      <c r="O95" s="13">
        <v>2</v>
      </c>
      <c r="P95" t="s">
        <v>251</v>
      </c>
      <c r="R95" t="s">
        <v>152</v>
      </c>
      <c r="S95" t="s">
        <v>167</v>
      </c>
      <c r="T95">
        <v>94</v>
      </c>
      <c r="U95" s="15">
        <v>0</v>
      </c>
      <c r="V95" s="15" t="str">
        <f t="shared" si="11"/>
        <v>HistoricalReading</v>
      </c>
      <c r="W95" s="7" t="str">
        <f t="shared" si="12"/>
        <v>HistoricalReadingList</v>
      </c>
      <c r="X95" s="7" t="str">
        <f>"GET/HEAD: "&amp;VLOOKUP(D95,MODE!A:D,2,FALSE)&amp;", "&amp;E$1&amp;": "&amp;VLOOKUP(E95,MODE!A:D,2,FALSE)&amp;", "&amp;F$1&amp;": "&amp;VLOOKUP(F95,MODE!A:D,2,FALSE)&amp;", "&amp;G$1&amp;": "&amp;VLOOKUP(G95,MODE!A:D,2,FALSE)</f>
        <v>GET/HEAD: Mandatory, PUT: Error, POST: Discouraged, DELETE: Error</v>
      </c>
      <c r="Y95" s="7" t="b">
        <f t="shared" si="13"/>
        <v>0</v>
      </c>
      <c r="Z95" s="7" t="b">
        <f t="shared" si="14"/>
        <v>0</v>
      </c>
    </row>
    <row r="96" spans="1:26">
      <c r="A96">
        <v>93</v>
      </c>
      <c r="B96" t="s">
        <v>88</v>
      </c>
      <c r="C96" t="str">
        <f t="shared" si="10"/>
        <v>/bill/{id1}/ca/{id2}/ver/{id3}</v>
      </c>
      <c r="D96" s="9" t="s">
        <v>171</v>
      </c>
      <c r="E96" s="9" t="s">
        <v>174</v>
      </c>
      <c r="F96" s="9" t="s">
        <v>174</v>
      </c>
      <c r="G96" s="22" t="s">
        <v>172</v>
      </c>
      <c r="I96" s="13" t="s">
        <v>275</v>
      </c>
      <c r="J96">
        <v>92</v>
      </c>
      <c r="K96" s="13">
        <v>0</v>
      </c>
      <c r="L96" s="13">
        <v>0</v>
      </c>
      <c r="M96" s="13">
        <v>1</v>
      </c>
      <c r="N96" s="13">
        <v>1</v>
      </c>
      <c r="O96" s="13">
        <v>3</v>
      </c>
      <c r="P96" t="s">
        <v>297</v>
      </c>
      <c r="R96" t="s">
        <v>152</v>
      </c>
      <c r="S96" t="s">
        <v>167</v>
      </c>
      <c r="T96">
        <v>95</v>
      </c>
      <c r="U96" s="15">
        <v>0</v>
      </c>
      <c r="V96" s="15" t="str">
        <f t="shared" si="11"/>
        <v>HistoricalReading</v>
      </c>
      <c r="W96" s="7" t="str">
        <f t="shared" si="12"/>
        <v>HistoricalReading</v>
      </c>
      <c r="X96" s="7" t="str">
        <f>"GET/HEAD: "&amp;VLOOKUP(D96,MODE!A:D,2,FALSE)&amp;", "&amp;E$1&amp;": "&amp;VLOOKUP(E96,MODE!A:D,2,FALSE)&amp;", "&amp;F$1&amp;": "&amp;VLOOKUP(F96,MODE!A:D,2,FALSE)&amp;", "&amp;G$1&amp;": "&amp;VLOOKUP(G96,MODE!A:D,2,FALSE)</f>
        <v>GET/HEAD: Mandatory, PUT: Error, POST: Error, DELETE: Discouraged</v>
      </c>
      <c r="Y96" s="7" t="b">
        <f t="shared" si="13"/>
        <v>0</v>
      </c>
      <c r="Z96" s="7" t="b">
        <f t="shared" si="14"/>
        <v>0</v>
      </c>
    </row>
    <row r="97" spans="1:26">
      <c r="A97">
        <v>94</v>
      </c>
      <c r="B97" t="s">
        <v>101</v>
      </c>
      <c r="C97" t="str">
        <f t="shared" si="10"/>
        <v>/bill/{id1}/ss</v>
      </c>
      <c r="D97" s="9" t="s">
        <v>171</v>
      </c>
      <c r="E97" s="9" t="s">
        <v>174</v>
      </c>
      <c r="F97" s="9" t="s">
        <v>174</v>
      </c>
      <c r="G97" s="22" t="s">
        <v>172</v>
      </c>
      <c r="I97" s="13" t="s">
        <v>117</v>
      </c>
      <c r="J97">
        <v>78</v>
      </c>
      <c r="K97" s="13">
        <v>0</v>
      </c>
      <c r="L97" s="13">
        <v>0</v>
      </c>
      <c r="M97" s="13">
        <v>0</v>
      </c>
      <c r="N97" s="13">
        <v>1</v>
      </c>
      <c r="O97" s="13">
        <v>1</v>
      </c>
      <c r="P97" t="s">
        <v>298</v>
      </c>
      <c r="R97" t="s">
        <v>152</v>
      </c>
      <c r="S97" t="s">
        <v>167</v>
      </c>
      <c r="T97">
        <v>96</v>
      </c>
      <c r="U97" s="15">
        <v>0</v>
      </c>
      <c r="V97" s="15" t="str">
        <f t="shared" si="11"/>
        <v>ServiceSupplier</v>
      </c>
      <c r="W97" s="7" t="str">
        <f t="shared" si="12"/>
        <v>ServiceSupplier</v>
      </c>
      <c r="X97" s="7" t="str">
        <f>"GET/HEAD: "&amp;VLOOKUP(D97,MODE!A:D,2,FALSE)&amp;", "&amp;E$1&amp;": "&amp;VLOOKUP(E97,MODE!A:D,2,FALSE)&amp;", "&amp;F$1&amp;": "&amp;VLOOKUP(F97,MODE!A:D,2,FALSE)&amp;", "&amp;G$1&amp;": "&amp;VLOOKUP(G97,MODE!A:D,2,FALSE)</f>
        <v>GET/HEAD: Mandatory, PUT: Error, POST: Error, DELETE: Discouraged</v>
      </c>
      <c r="Y97" s="7" t="b">
        <f t="shared" si="13"/>
        <v>0</v>
      </c>
      <c r="Z97" s="7" t="b">
        <f t="shared" si="14"/>
        <v>0</v>
      </c>
    </row>
    <row r="98" spans="1:26">
      <c r="A98">
        <v>95</v>
      </c>
      <c r="B98" t="s">
        <v>97</v>
      </c>
      <c r="C98" t="str">
        <f t="shared" ref="C98:C127" si="15">IF(NOT(J98),"/",VLOOKUP(J98,A:C,3,FALSE)&amp;"/")&amp;IF(M98,"{","")&amp;I98&amp;IF(M98,"}","")</f>
        <v>/ppy</v>
      </c>
      <c r="D98" s="9" t="s">
        <v>171</v>
      </c>
      <c r="E98" s="9" t="s">
        <v>174</v>
      </c>
      <c r="F98" s="9" t="s">
        <v>172</v>
      </c>
      <c r="G98" s="22" t="s">
        <v>174</v>
      </c>
      <c r="I98" s="13" t="s">
        <v>303</v>
      </c>
      <c r="J98">
        <v>0</v>
      </c>
      <c r="K98" s="13">
        <v>1</v>
      </c>
      <c r="L98" s="13">
        <v>0</v>
      </c>
      <c r="M98" s="13">
        <v>0</v>
      </c>
      <c r="N98" s="13">
        <v>0</v>
      </c>
      <c r="O98" s="13">
        <v>0</v>
      </c>
      <c r="P98" t="s">
        <v>133</v>
      </c>
      <c r="R98" t="s">
        <v>152</v>
      </c>
      <c r="S98" t="s">
        <v>96</v>
      </c>
      <c r="T98">
        <v>97</v>
      </c>
      <c r="U98" s="15">
        <v>0</v>
      </c>
      <c r="V98" s="15" t="str">
        <f t="shared" ref="V98:V127" si="16">IF(RIGHT(B98,4)="List",LEFT(W98,LEN(W98)-4),W98)</f>
        <v>Prepayment</v>
      </c>
      <c r="W98" s="7" t="str">
        <f t="shared" ref="W98:W127" si="17">MID(B98,U98+1,99)</f>
        <v>PrepaymentList</v>
      </c>
      <c r="X98" s="7" t="str">
        <f>"GET/HEAD: "&amp;VLOOKUP(D98,MODE!A:D,2,FALSE)&amp;", "&amp;E$1&amp;": "&amp;VLOOKUP(E98,MODE!A:D,2,FALSE)&amp;", "&amp;F$1&amp;": "&amp;VLOOKUP(F98,MODE!A:D,2,FALSE)&amp;", "&amp;G$1&amp;": "&amp;VLOOKUP(G98,MODE!A:D,2,FALSE)</f>
        <v>GET/HEAD: Mandatory, PUT: Error, POST: Discouraged, DELETE: Error</v>
      </c>
      <c r="Y98" s="7" t="b">
        <f t="shared" si="13"/>
        <v>0</v>
      </c>
      <c r="Z98" s="7" t="b">
        <f t="shared" si="14"/>
        <v>1</v>
      </c>
    </row>
    <row r="99" spans="1:26">
      <c r="A99">
        <v>96</v>
      </c>
      <c r="B99" t="s">
        <v>96</v>
      </c>
      <c r="C99" t="str">
        <f t="shared" si="15"/>
        <v>/ppy/{id1}</v>
      </c>
      <c r="D99" s="9" t="s">
        <v>171</v>
      </c>
      <c r="E99" s="9" t="s">
        <v>174</v>
      </c>
      <c r="F99" s="9" t="s">
        <v>174</v>
      </c>
      <c r="G99" s="22" t="s">
        <v>172</v>
      </c>
      <c r="I99" s="13" t="s">
        <v>273</v>
      </c>
      <c r="J99">
        <v>95</v>
      </c>
      <c r="K99" s="13">
        <v>0</v>
      </c>
      <c r="L99" s="13">
        <v>0</v>
      </c>
      <c r="M99" s="13">
        <v>1</v>
      </c>
      <c r="N99" s="13">
        <v>1</v>
      </c>
      <c r="O99" s="13">
        <v>1</v>
      </c>
      <c r="P99" t="s">
        <v>134</v>
      </c>
      <c r="R99" t="s">
        <v>152</v>
      </c>
      <c r="S99" t="s">
        <v>96</v>
      </c>
      <c r="T99">
        <v>98</v>
      </c>
      <c r="U99" s="15">
        <v>0</v>
      </c>
      <c r="V99" s="15" t="str">
        <f t="shared" si="16"/>
        <v>Prepayment</v>
      </c>
      <c r="W99" s="7" t="str">
        <f t="shared" si="17"/>
        <v>Prepayment</v>
      </c>
      <c r="X99" s="7" t="str">
        <f>"GET/HEAD: "&amp;VLOOKUP(D99,MODE!A:D,2,FALSE)&amp;", "&amp;E$1&amp;": "&amp;VLOOKUP(E99,MODE!A:D,2,FALSE)&amp;", "&amp;F$1&amp;": "&amp;VLOOKUP(F99,MODE!A:D,2,FALSE)&amp;", "&amp;G$1&amp;": "&amp;VLOOKUP(G99,MODE!A:D,2,FALSE)</f>
        <v>GET/HEAD: Mandatory, PUT: Error, POST: Error, DELETE: Discouraged</v>
      </c>
      <c r="Y99" s="7" t="b">
        <f t="shared" si="13"/>
        <v>0</v>
      </c>
      <c r="Z99" s="7" t="b">
        <f t="shared" si="14"/>
        <v>0</v>
      </c>
    </row>
    <row r="100" spans="1:26">
      <c r="A100">
        <v>97</v>
      </c>
      <c r="B100" t="s">
        <v>79</v>
      </c>
      <c r="C100" t="str">
        <f t="shared" si="15"/>
        <v>/ppy/{id1}/ab</v>
      </c>
      <c r="D100" s="9" t="s">
        <v>171</v>
      </c>
      <c r="E100" s="9" t="s">
        <v>172</v>
      </c>
      <c r="F100" s="9" t="s">
        <v>174</v>
      </c>
      <c r="G100" s="22" t="s">
        <v>174</v>
      </c>
      <c r="I100" s="13" t="s">
        <v>114</v>
      </c>
      <c r="J100">
        <v>96</v>
      </c>
      <c r="K100" s="13">
        <v>0</v>
      </c>
      <c r="L100" s="13">
        <v>0</v>
      </c>
      <c r="M100" s="13">
        <v>0</v>
      </c>
      <c r="N100" s="13">
        <v>0</v>
      </c>
      <c r="O100" s="13">
        <v>1</v>
      </c>
      <c r="P100" t="s">
        <v>135</v>
      </c>
      <c r="R100" t="s">
        <v>152</v>
      </c>
      <c r="S100" t="s">
        <v>96</v>
      </c>
      <c r="T100">
        <v>99</v>
      </c>
      <c r="U100" s="15">
        <v>0</v>
      </c>
      <c r="V100" s="15" t="str">
        <f t="shared" si="16"/>
        <v>AccountBalance</v>
      </c>
      <c r="W100" s="7" t="str">
        <f t="shared" si="17"/>
        <v>AccountBalance</v>
      </c>
      <c r="X100" s="7" t="str">
        <f>"GET/HEAD: "&amp;VLOOKUP(D100,MODE!A:D,2,FALSE)&amp;", "&amp;E$1&amp;": "&amp;VLOOKUP(E100,MODE!A:D,2,FALSE)&amp;", "&amp;F$1&amp;": "&amp;VLOOKUP(F100,MODE!A:D,2,FALSE)&amp;", "&amp;G$1&amp;": "&amp;VLOOKUP(G100,MODE!A:D,2,FALSE)</f>
        <v>GET/HEAD: Mandatory, PUT: Discouraged, POST: Error, DELETE: Error</v>
      </c>
      <c r="Y100" s="7" t="b">
        <f t="shared" si="13"/>
        <v>0</v>
      </c>
      <c r="Z100" s="7" t="b">
        <f t="shared" si="14"/>
        <v>0</v>
      </c>
    </row>
    <row r="101" spans="1:26">
      <c r="A101">
        <v>98</v>
      </c>
      <c r="B101" t="s">
        <v>98</v>
      </c>
      <c r="C101" t="str">
        <f t="shared" si="15"/>
        <v>/ppy/{id1}/os</v>
      </c>
      <c r="D101" s="9" t="s">
        <v>171</v>
      </c>
      <c r="E101" s="9" t="s">
        <v>172</v>
      </c>
      <c r="F101" s="9" t="s">
        <v>174</v>
      </c>
      <c r="G101" s="22" t="s">
        <v>174</v>
      </c>
      <c r="I101" s="13" t="s">
        <v>115</v>
      </c>
      <c r="J101">
        <v>96</v>
      </c>
      <c r="K101" s="13">
        <v>0</v>
      </c>
      <c r="L101" s="13">
        <v>0</v>
      </c>
      <c r="M101" s="13">
        <v>0</v>
      </c>
      <c r="N101" s="13">
        <v>0</v>
      </c>
      <c r="O101" s="13">
        <v>1</v>
      </c>
      <c r="P101" t="s">
        <v>138</v>
      </c>
      <c r="R101" t="s">
        <v>152</v>
      </c>
      <c r="S101" t="s">
        <v>96</v>
      </c>
      <c r="T101">
        <v>100</v>
      </c>
      <c r="U101" s="15">
        <v>0</v>
      </c>
      <c r="V101" s="15" t="str">
        <f t="shared" si="16"/>
        <v>PrepayOperationStatus</v>
      </c>
      <c r="W101" s="7" t="str">
        <f t="shared" si="17"/>
        <v>PrepayOperationStatus</v>
      </c>
      <c r="X101" s="7" t="str">
        <f>"GET/HEAD: "&amp;VLOOKUP(D101,MODE!A:D,2,FALSE)&amp;", "&amp;E$1&amp;": "&amp;VLOOKUP(E101,MODE!A:D,2,FALSE)&amp;", "&amp;F$1&amp;": "&amp;VLOOKUP(F101,MODE!A:D,2,FALSE)&amp;", "&amp;G$1&amp;": "&amp;VLOOKUP(G101,MODE!A:D,2,FALSE)</f>
        <v>GET/HEAD: Mandatory, PUT: Discouraged, POST: Error, DELETE: Error</v>
      </c>
      <c r="Y101" s="7" t="b">
        <f t="shared" si="13"/>
        <v>0</v>
      </c>
      <c r="Z101" s="7" t="b">
        <f t="shared" si="14"/>
        <v>0</v>
      </c>
    </row>
    <row r="102" spans="1:26">
      <c r="A102">
        <v>99</v>
      </c>
      <c r="B102" t="s">
        <v>149</v>
      </c>
      <c r="C102" t="str">
        <f t="shared" si="15"/>
        <v>/ppy/{id1}/actsi</v>
      </c>
      <c r="D102" s="9" t="s">
        <v>171</v>
      </c>
      <c r="E102" s="9" t="s">
        <v>174</v>
      </c>
      <c r="F102" s="9" t="s">
        <v>174</v>
      </c>
      <c r="G102" s="22" t="s">
        <v>174</v>
      </c>
      <c r="I102" s="13" t="s">
        <v>151</v>
      </c>
      <c r="J102">
        <v>96</v>
      </c>
      <c r="K102" s="13">
        <v>1</v>
      </c>
      <c r="L102" s="13">
        <v>1</v>
      </c>
      <c r="M102" s="13">
        <v>0</v>
      </c>
      <c r="N102" s="13">
        <v>0</v>
      </c>
      <c r="O102" s="13">
        <v>1</v>
      </c>
      <c r="P102" t="s">
        <v>299</v>
      </c>
      <c r="R102" t="s">
        <v>152</v>
      </c>
      <c r="S102" t="s">
        <v>96</v>
      </c>
      <c r="T102">
        <v>101</v>
      </c>
      <c r="U102" s="15">
        <v>6</v>
      </c>
      <c r="V102" s="15" t="str">
        <f t="shared" si="16"/>
        <v>SupplyInterruptionOverride</v>
      </c>
      <c r="W102" s="7" t="str">
        <f t="shared" si="17"/>
        <v>SupplyInterruptionOverrideList</v>
      </c>
      <c r="X102" s="7" t="str">
        <f>"GET/HEAD: "&amp;VLOOKUP(D102,MODE!A:D,2,FALSE)&amp;", "&amp;E$1&amp;": "&amp;VLOOKUP(E102,MODE!A:D,2,FALSE)&amp;", "&amp;F$1&amp;": "&amp;VLOOKUP(F102,MODE!A:D,2,FALSE)&amp;", "&amp;G$1&amp;": "&amp;VLOOKUP(G102,MODE!A:D,2,FALSE)</f>
        <v>GET/HEAD: Mandatory, PUT: Error, POST: Error, DELETE: Error</v>
      </c>
      <c r="Y102" s="7" t="b">
        <f t="shared" si="13"/>
        <v>0</v>
      </c>
      <c r="Z102" s="7" t="b">
        <f t="shared" si="14"/>
        <v>0</v>
      </c>
    </row>
    <row r="103" spans="1:26">
      <c r="A103">
        <v>100</v>
      </c>
      <c r="B103" t="s">
        <v>103</v>
      </c>
      <c r="C103" t="str">
        <f t="shared" si="15"/>
        <v>/ppy/{id1}/si</v>
      </c>
      <c r="D103" s="9" t="s">
        <v>171</v>
      </c>
      <c r="E103" s="9" t="s">
        <v>174</v>
      </c>
      <c r="F103" s="9" t="s">
        <v>172</v>
      </c>
      <c r="G103" s="22" t="s">
        <v>174</v>
      </c>
      <c r="I103" s="13" t="s">
        <v>116</v>
      </c>
      <c r="J103">
        <v>96</v>
      </c>
      <c r="K103" s="13">
        <v>1</v>
      </c>
      <c r="L103" s="13">
        <v>1</v>
      </c>
      <c r="M103" s="13">
        <v>0</v>
      </c>
      <c r="N103" s="13">
        <v>0</v>
      </c>
      <c r="O103" s="13">
        <v>1</v>
      </c>
      <c r="P103" t="s">
        <v>139</v>
      </c>
      <c r="R103" t="s">
        <v>152</v>
      </c>
      <c r="S103" t="s">
        <v>96</v>
      </c>
      <c r="T103">
        <v>102</v>
      </c>
      <c r="U103" s="15">
        <v>0</v>
      </c>
      <c r="V103" s="15" t="str">
        <f t="shared" si="16"/>
        <v>SupplyInterruptionOverride</v>
      </c>
      <c r="W103" s="7" t="str">
        <f t="shared" si="17"/>
        <v>SupplyInterruptionOverrideList</v>
      </c>
      <c r="X103" s="7" t="str">
        <f>"GET/HEAD: "&amp;VLOOKUP(D103,MODE!A:D,2,FALSE)&amp;", "&amp;E$1&amp;": "&amp;VLOOKUP(E103,MODE!A:D,2,FALSE)&amp;", "&amp;F$1&amp;": "&amp;VLOOKUP(F103,MODE!A:D,2,FALSE)&amp;", "&amp;G$1&amp;": "&amp;VLOOKUP(G103,MODE!A:D,2,FALSE)</f>
        <v>GET/HEAD: Mandatory, PUT: Error, POST: Discouraged, DELETE: Error</v>
      </c>
      <c r="Y103" s="7" t="b">
        <f t="shared" si="13"/>
        <v>0</v>
      </c>
      <c r="Z103" s="7" t="b">
        <f t="shared" si="14"/>
        <v>0</v>
      </c>
    </row>
    <row r="104" spans="1:26">
      <c r="A104">
        <v>101</v>
      </c>
      <c r="B104" t="s">
        <v>102</v>
      </c>
      <c r="C104" t="str">
        <f t="shared" si="15"/>
        <v>/ppy/{id1}/si/{id2}</v>
      </c>
      <c r="D104" s="9" t="s">
        <v>171</v>
      </c>
      <c r="E104" s="9" t="s">
        <v>172</v>
      </c>
      <c r="F104" s="9" t="s">
        <v>174</v>
      </c>
      <c r="G104" s="22" t="s">
        <v>172</v>
      </c>
      <c r="I104" s="13" t="s">
        <v>274</v>
      </c>
      <c r="J104">
        <v>100</v>
      </c>
      <c r="K104" s="13">
        <v>0</v>
      </c>
      <c r="L104" s="13">
        <v>0</v>
      </c>
      <c r="M104" s="13">
        <v>1</v>
      </c>
      <c r="N104" s="13">
        <v>0</v>
      </c>
      <c r="O104" s="13">
        <v>2</v>
      </c>
      <c r="P104" t="s">
        <v>140</v>
      </c>
      <c r="R104" t="s">
        <v>152</v>
      </c>
      <c r="S104" t="s">
        <v>96</v>
      </c>
      <c r="T104">
        <v>103</v>
      </c>
      <c r="U104" s="15">
        <v>0</v>
      </c>
      <c r="V104" s="15" t="str">
        <f t="shared" si="16"/>
        <v>SupplyInterruptionOverride</v>
      </c>
      <c r="W104" s="7" t="str">
        <f t="shared" si="17"/>
        <v>SupplyInterruptionOverride</v>
      </c>
      <c r="X104" s="7" t="str">
        <f>"GET/HEAD: "&amp;VLOOKUP(D104,MODE!A:D,2,FALSE)&amp;", "&amp;E$1&amp;": "&amp;VLOOKUP(E104,MODE!A:D,2,FALSE)&amp;", "&amp;F$1&amp;": "&amp;VLOOKUP(F104,MODE!A:D,2,FALSE)&amp;", "&amp;G$1&amp;": "&amp;VLOOKUP(G104,MODE!A:D,2,FALSE)</f>
        <v>GET/HEAD: Mandatory, PUT: Discouraged, POST: Error, DELETE: Discouraged</v>
      </c>
      <c r="Y104" s="7" t="b">
        <f t="shared" si="13"/>
        <v>0</v>
      </c>
      <c r="Z104" s="7" t="b">
        <f t="shared" si="14"/>
        <v>0</v>
      </c>
    </row>
    <row r="105" spans="1:26">
      <c r="A105">
        <v>102</v>
      </c>
      <c r="B105" t="s">
        <v>82</v>
      </c>
      <c r="C105" t="str">
        <f t="shared" si="15"/>
        <v>/ppy/{id1}/cr</v>
      </c>
      <c r="D105" s="9" t="s">
        <v>171</v>
      </c>
      <c r="E105" s="9" t="s">
        <v>174</v>
      </c>
      <c r="F105" s="9" t="s">
        <v>173</v>
      </c>
      <c r="G105" s="22" t="s">
        <v>174</v>
      </c>
      <c r="I105" s="13" t="s">
        <v>108</v>
      </c>
      <c r="J105">
        <v>96</v>
      </c>
      <c r="K105" s="13">
        <v>1</v>
      </c>
      <c r="L105" s="13">
        <v>0</v>
      </c>
      <c r="M105" s="13">
        <v>0</v>
      </c>
      <c r="N105" s="13">
        <v>0</v>
      </c>
      <c r="O105" s="13">
        <v>1</v>
      </c>
      <c r="P105" t="s">
        <v>136</v>
      </c>
      <c r="R105" t="s">
        <v>152</v>
      </c>
      <c r="S105" t="s">
        <v>96</v>
      </c>
      <c r="T105">
        <v>104</v>
      </c>
      <c r="U105" s="15">
        <v>0</v>
      </c>
      <c r="V105" s="15" t="str">
        <f t="shared" si="16"/>
        <v>CreditRegister</v>
      </c>
      <c r="W105" s="7" t="str">
        <f t="shared" si="17"/>
        <v>CreditRegisterList</v>
      </c>
      <c r="X105" s="7" t="str">
        <f>"GET/HEAD: "&amp;VLOOKUP(D105,MODE!A:D,2,FALSE)&amp;", "&amp;E$1&amp;": "&amp;VLOOKUP(E105,MODE!A:D,2,FALSE)&amp;", "&amp;F$1&amp;": "&amp;VLOOKUP(F105,MODE!A:D,2,FALSE)&amp;", "&amp;G$1&amp;": "&amp;VLOOKUP(G105,MODE!A:D,2,FALSE)</f>
        <v>GET/HEAD: Mandatory, PUT: Error, POST: Optional, DELETE: Error</v>
      </c>
      <c r="Y105" s="7" t="b">
        <f t="shared" si="13"/>
        <v>0</v>
      </c>
      <c r="Z105" s="7" t="b">
        <f t="shared" si="14"/>
        <v>0</v>
      </c>
    </row>
    <row r="106" spans="1:26">
      <c r="A106">
        <v>103</v>
      </c>
      <c r="B106" t="s">
        <v>81</v>
      </c>
      <c r="C106" t="str">
        <f t="shared" si="15"/>
        <v>/ppy/{id1}/cr/{id2}</v>
      </c>
      <c r="D106" s="9" t="s">
        <v>171</v>
      </c>
      <c r="E106" s="9" t="s">
        <v>174</v>
      </c>
      <c r="F106" s="9" t="s">
        <v>174</v>
      </c>
      <c r="G106" s="22" t="s">
        <v>173</v>
      </c>
      <c r="I106" s="13" t="s">
        <v>274</v>
      </c>
      <c r="J106">
        <v>102</v>
      </c>
      <c r="K106" s="13">
        <v>0</v>
      </c>
      <c r="L106" s="13">
        <v>0</v>
      </c>
      <c r="M106" s="13">
        <v>1</v>
      </c>
      <c r="N106" s="13">
        <v>1</v>
      </c>
      <c r="O106" s="13">
        <v>2</v>
      </c>
      <c r="P106" t="s">
        <v>137</v>
      </c>
      <c r="R106" t="s">
        <v>152</v>
      </c>
      <c r="S106" t="s">
        <v>96</v>
      </c>
      <c r="T106">
        <v>105</v>
      </c>
      <c r="U106" s="15">
        <v>0</v>
      </c>
      <c r="V106" s="15" t="str">
        <f t="shared" si="16"/>
        <v>CreditRegister</v>
      </c>
      <c r="W106" s="7" t="str">
        <f t="shared" si="17"/>
        <v>CreditRegister</v>
      </c>
      <c r="X106" s="7" t="str">
        <f>"GET/HEAD: "&amp;VLOOKUP(D106,MODE!A:D,2,FALSE)&amp;", "&amp;E$1&amp;": "&amp;VLOOKUP(E106,MODE!A:D,2,FALSE)&amp;", "&amp;F$1&amp;": "&amp;VLOOKUP(F106,MODE!A:D,2,FALSE)&amp;", "&amp;G$1&amp;": "&amp;VLOOKUP(G106,MODE!A:D,2,FALSE)</f>
        <v>GET/HEAD: Mandatory, PUT: Error, POST: Error, DELETE: Optional</v>
      </c>
      <c r="Y106" s="7" t="b">
        <f t="shared" si="13"/>
        <v>0</v>
      </c>
      <c r="Z106" s="7" t="b">
        <f t="shared" si="14"/>
        <v>0</v>
      </c>
    </row>
    <row r="107" spans="1:26">
      <c r="A107">
        <v>104</v>
      </c>
      <c r="B107" t="s">
        <v>357</v>
      </c>
      <c r="C107" t="str">
        <f t="shared" si="15"/>
        <v>/edev/{id1}/frq</v>
      </c>
      <c r="D107" s="9" t="s">
        <v>171</v>
      </c>
      <c r="E107" s="9" t="s">
        <v>174</v>
      </c>
      <c r="F107" s="9" t="s">
        <v>171</v>
      </c>
      <c r="G107" s="22" t="s">
        <v>174</v>
      </c>
      <c r="I107" s="13" t="s">
        <v>363</v>
      </c>
      <c r="J107">
        <v>4</v>
      </c>
      <c r="K107" s="13">
        <v>1</v>
      </c>
      <c r="L107" s="13">
        <v>1</v>
      </c>
      <c r="M107" s="13">
        <v>0</v>
      </c>
      <c r="N107" s="13">
        <v>0</v>
      </c>
      <c r="O107" s="13">
        <v>1</v>
      </c>
      <c r="P107" t="s">
        <v>358</v>
      </c>
      <c r="R107" t="s">
        <v>152</v>
      </c>
      <c r="S107" t="s">
        <v>365</v>
      </c>
      <c r="T107">
        <v>106</v>
      </c>
      <c r="U107" s="15">
        <v>0</v>
      </c>
      <c r="V107" s="15" t="str">
        <f t="shared" si="16"/>
        <v>FlowReservationRequest</v>
      </c>
      <c r="W107" s="7" t="str">
        <f t="shared" si="17"/>
        <v>FlowReservationRequestList</v>
      </c>
      <c r="X107" s="7" t="str">
        <f>"GET/HEAD: "&amp;VLOOKUP(D107,MODE!A:D,2,FALSE)&amp;", "&amp;E$1&amp;": "&amp;VLOOKUP(E107,MODE!A:D,2,FALSE)&amp;", "&amp;F$1&amp;": "&amp;VLOOKUP(F107,MODE!A:D,2,FALSE)&amp;", "&amp;G$1&amp;": "&amp;VLOOKUP(G107,MODE!A:D,2,FALSE)</f>
        <v>GET/HEAD: Mandatory, PUT: Error, POST: Mandatory, DELETE: Error</v>
      </c>
      <c r="Y107" s="7" t="b">
        <f t="shared" si="13"/>
        <v>0</v>
      </c>
      <c r="Z107" s="7" t="b">
        <f t="shared" si="14"/>
        <v>1</v>
      </c>
    </row>
    <row r="108" spans="1:26">
      <c r="A108">
        <v>105</v>
      </c>
      <c r="B108" t="s">
        <v>359</v>
      </c>
      <c r="C108" t="str">
        <f t="shared" si="15"/>
        <v>/edev/{id1}/frq/{id2}</v>
      </c>
      <c r="D108" s="9" t="s">
        <v>171</v>
      </c>
      <c r="E108" s="9" t="s">
        <v>171</v>
      </c>
      <c r="F108" s="9" t="s">
        <v>174</v>
      </c>
      <c r="G108" s="22" t="s">
        <v>173</v>
      </c>
      <c r="I108" s="13" t="s">
        <v>274</v>
      </c>
      <c r="J108">
        <v>104</v>
      </c>
      <c r="K108" s="13">
        <v>0</v>
      </c>
      <c r="L108" s="13">
        <v>0</v>
      </c>
      <c r="M108" s="13">
        <v>1</v>
      </c>
      <c r="N108" s="13">
        <v>1</v>
      </c>
      <c r="O108" s="13">
        <v>2</v>
      </c>
      <c r="P108" t="s">
        <v>367</v>
      </c>
      <c r="R108" t="s">
        <v>152</v>
      </c>
      <c r="S108" t="s">
        <v>365</v>
      </c>
      <c r="T108">
        <v>107</v>
      </c>
      <c r="U108" s="15">
        <v>0</v>
      </c>
      <c r="V108" s="15" t="str">
        <f t="shared" si="16"/>
        <v>FlowReservationRequest</v>
      </c>
      <c r="W108" s="7" t="str">
        <f t="shared" si="17"/>
        <v>FlowReservationRequest</v>
      </c>
      <c r="X108" s="7" t="str">
        <f>"GET/HEAD: "&amp;VLOOKUP(D108,MODE!A:D,2,FALSE)&amp;", "&amp;E$1&amp;": "&amp;VLOOKUP(E108,MODE!A:D,2,FALSE)&amp;", "&amp;F$1&amp;": "&amp;VLOOKUP(F108,MODE!A:D,2,FALSE)&amp;", "&amp;G$1&amp;": "&amp;VLOOKUP(G108,MODE!A:D,2,FALSE)</f>
        <v>GET/HEAD: Mandatory, PUT: Mandatory, POST: Error, DELETE: Optional</v>
      </c>
      <c r="Y108" s="7" t="b">
        <f t="shared" si="13"/>
        <v>0</v>
      </c>
      <c r="Z108" s="7" t="b">
        <f t="shared" si="14"/>
        <v>0</v>
      </c>
    </row>
    <row r="109" spans="1:26">
      <c r="A109">
        <v>106</v>
      </c>
      <c r="B109" t="s">
        <v>360</v>
      </c>
      <c r="C109" t="str">
        <f t="shared" si="15"/>
        <v>/edev/{id1}/frp</v>
      </c>
      <c r="D109" s="9" t="s">
        <v>171</v>
      </c>
      <c r="E109" s="9" t="s">
        <v>174</v>
      </c>
      <c r="F109" s="9" t="s">
        <v>172</v>
      </c>
      <c r="G109" s="22" t="s">
        <v>174</v>
      </c>
      <c r="I109" s="13" t="s">
        <v>364</v>
      </c>
      <c r="J109">
        <v>4</v>
      </c>
      <c r="K109" s="13">
        <v>1</v>
      </c>
      <c r="L109" s="13">
        <v>1</v>
      </c>
      <c r="M109" s="13">
        <v>0</v>
      </c>
      <c r="N109" s="13">
        <v>0</v>
      </c>
      <c r="O109" s="13">
        <v>1</v>
      </c>
      <c r="P109" t="s">
        <v>361</v>
      </c>
      <c r="R109" t="s">
        <v>152</v>
      </c>
      <c r="S109" t="s">
        <v>365</v>
      </c>
      <c r="T109">
        <v>108</v>
      </c>
      <c r="U109" s="15">
        <v>0</v>
      </c>
      <c r="V109" s="15" t="str">
        <f t="shared" si="16"/>
        <v>FlowReservationResponse</v>
      </c>
      <c r="W109" s="7" t="str">
        <f t="shared" si="17"/>
        <v>FlowReservationResponseList</v>
      </c>
      <c r="X109" s="7" t="str">
        <f>"GET/HEAD: "&amp;VLOOKUP(D109,MODE!A:D,2,FALSE)&amp;", "&amp;E$1&amp;": "&amp;VLOOKUP(E109,MODE!A:D,2,FALSE)&amp;", "&amp;F$1&amp;": "&amp;VLOOKUP(F109,MODE!A:D,2,FALSE)&amp;", "&amp;G$1&amp;": "&amp;VLOOKUP(G109,MODE!A:D,2,FALSE)</f>
        <v>GET/HEAD: Mandatory, PUT: Error, POST: Discouraged, DELETE: Error</v>
      </c>
      <c r="Y109" s="7" t="b">
        <f t="shared" si="13"/>
        <v>0</v>
      </c>
      <c r="Z109" s="7" t="b">
        <f t="shared" si="14"/>
        <v>0</v>
      </c>
    </row>
    <row r="110" spans="1:26">
      <c r="A110">
        <v>107</v>
      </c>
      <c r="B110" t="s">
        <v>362</v>
      </c>
      <c r="C110" t="str">
        <f t="shared" si="15"/>
        <v>/edev/{id1}/frp/{id2}</v>
      </c>
      <c r="D110" s="9" t="s">
        <v>171</v>
      </c>
      <c r="E110" s="9" t="s">
        <v>174</v>
      </c>
      <c r="F110" s="9" t="s">
        <v>174</v>
      </c>
      <c r="G110" s="22" t="s">
        <v>172</v>
      </c>
      <c r="I110" s="13" t="s">
        <v>274</v>
      </c>
      <c r="J110">
        <v>106</v>
      </c>
      <c r="K110" s="13">
        <v>0</v>
      </c>
      <c r="L110" s="13">
        <v>0</v>
      </c>
      <c r="M110" s="13">
        <v>1</v>
      </c>
      <c r="N110" s="13">
        <v>1</v>
      </c>
      <c r="O110" s="13">
        <v>2</v>
      </c>
      <c r="P110" t="s">
        <v>366</v>
      </c>
      <c r="R110" t="s">
        <v>152</v>
      </c>
      <c r="S110" t="s">
        <v>365</v>
      </c>
      <c r="T110">
        <v>109</v>
      </c>
      <c r="U110" s="15">
        <v>0</v>
      </c>
      <c r="V110" s="15" t="str">
        <f t="shared" si="16"/>
        <v>FlowReservationResponse</v>
      </c>
      <c r="W110" s="7" t="str">
        <f t="shared" si="17"/>
        <v>FlowReservationResponse</v>
      </c>
      <c r="X110" s="7" t="str">
        <f>"GET/HEAD: "&amp;VLOOKUP(D110,MODE!A:D,2,FALSE)&amp;", "&amp;E$1&amp;": "&amp;VLOOKUP(E110,MODE!A:D,2,FALSE)&amp;", "&amp;F$1&amp;": "&amp;VLOOKUP(F110,MODE!A:D,2,FALSE)&amp;", "&amp;G$1&amp;": "&amp;VLOOKUP(G110,MODE!A:D,2,FALSE)</f>
        <v>GET/HEAD: Mandatory, PUT: Error, POST: Error, DELETE: Discouraged</v>
      </c>
      <c r="Y110" s="7" t="b">
        <f t="shared" si="13"/>
        <v>0</v>
      </c>
      <c r="Z110" s="7" t="b">
        <f t="shared" si="14"/>
        <v>0</v>
      </c>
    </row>
    <row r="111" spans="1:26">
      <c r="A111">
        <v>108</v>
      </c>
      <c r="B111" t="s">
        <v>20</v>
      </c>
      <c r="C111" t="str">
        <f t="shared" si="15"/>
        <v>/edev/{id1}/der</v>
      </c>
      <c r="D111" s="9" t="s">
        <v>171</v>
      </c>
      <c r="E111" s="9" t="s">
        <v>174</v>
      </c>
      <c r="F111" s="9" t="s">
        <v>173</v>
      </c>
      <c r="G111" s="22" t="s">
        <v>174</v>
      </c>
      <c r="I111" s="13" t="s">
        <v>72</v>
      </c>
      <c r="J111">
        <v>4</v>
      </c>
      <c r="K111" s="13">
        <v>1</v>
      </c>
      <c r="L111" s="13">
        <v>0</v>
      </c>
      <c r="M111" s="13">
        <v>0</v>
      </c>
      <c r="N111" s="13">
        <v>0</v>
      </c>
      <c r="O111" s="13">
        <v>1</v>
      </c>
      <c r="P111" t="s">
        <v>246</v>
      </c>
      <c r="R111" t="s">
        <v>152</v>
      </c>
      <c r="S111" t="s">
        <v>336</v>
      </c>
      <c r="T111">
        <v>110</v>
      </c>
      <c r="U111" s="15">
        <v>0</v>
      </c>
      <c r="V111" s="15" t="str">
        <f t="shared" si="16"/>
        <v>DER</v>
      </c>
      <c r="W111" s="7" t="str">
        <f t="shared" si="17"/>
        <v>DERList</v>
      </c>
      <c r="X111" s="7" t="str">
        <f>"GET/HEAD: "&amp;VLOOKUP(D111,MODE!A:D,2,FALSE)&amp;", "&amp;E$1&amp;": "&amp;VLOOKUP(E111,MODE!A:D,2,FALSE)&amp;", "&amp;F$1&amp;": "&amp;VLOOKUP(F111,MODE!A:D,2,FALSE)&amp;", "&amp;G$1&amp;": "&amp;VLOOKUP(G111,MODE!A:D,2,FALSE)</f>
        <v>GET/HEAD: Mandatory, PUT: Error, POST: Optional, DELETE: Error</v>
      </c>
      <c r="Y111" s="7" t="b">
        <f t="shared" si="13"/>
        <v>0</v>
      </c>
      <c r="Z111" s="7" t="b">
        <f t="shared" si="14"/>
        <v>1</v>
      </c>
    </row>
    <row r="112" spans="1:26">
      <c r="A112">
        <v>109</v>
      </c>
      <c r="B112" t="s">
        <v>26</v>
      </c>
      <c r="C112" t="str">
        <f t="shared" si="15"/>
        <v>/edev/{id1}/der/{id2}</v>
      </c>
      <c r="D112" s="9" t="s">
        <v>171</v>
      </c>
      <c r="E112" s="9" t="s">
        <v>173</v>
      </c>
      <c r="F112" s="9" t="s">
        <v>174</v>
      </c>
      <c r="G112" s="22" t="s">
        <v>173</v>
      </c>
      <c r="I112" s="13" t="s">
        <v>274</v>
      </c>
      <c r="J112">
        <v>108</v>
      </c>
      <c r="K112" s="13">
        <v>0</v>
      </c>
      <c r="L112" s="13">
        <v>0</v>
      </c>
      <c r="M112" s="13">
        <v>1</v>
      </c>
      <c r="N112" s="13">
        <v>0</v>
      </c>
      <c r="O112" s="13">
        <v>2</v>
      </c>
      <c r="P112" t="s">
        <v>247</v>
      </c>
      <c r="R112" t="s">
        <v>152</v>
      </c>
      <c r="S112" t="s">
        <v>336</v>
      </c>
      <c r="T112">
        <v>111</v>
      </c>
      <c r="U112" s="15">
        <v>0</v>
      </c>
      <c r="V112" s="15" t="str">
        <f t="shared" si="16"/>
        <v>DER</v>
      </c>
      <c r="W112" s="7" t="str">
        <f t="shared" si="17"/>
        <v>DER</v>
      </c>
      <c r="X112" s="7" t="str">
        <f>"GET/HEAD: "&amp;VLOOKUP(D112,MODE!A:D,2,FALSE)&amp;", "&amp;E$1&amp;": "&amp;VLOOKUP(E112,MODE!A:D,2,FALSE)&amp;", "&amp;F$1&amp;": "&amp;VLOOKUP(F112,MODE!A:D,2,FALSE)&amp;", "&amp;G$1&amp;": "&amp;VLOOKUP(G112,MODE!A:D,2,FALSE)</f>
        <v>GET/HEAD: Mandatory, PUT: Optional, POST: Error, DELETE: Optional</v>
      </c>
      <c r="Y112" s="7" t="b">
        <f t="shared" si="13"/>
        <v>0</v>
      </c>
      <c r="Z112" s="7" t="b">
        <f t="shared" si="14"/>
        <v>0</v>
      </c>
    </row>
    <row r="113" spans="1:26">
      <c r="A113">
        <v>124</v>
      </c>
      <c r="B113" s="5" t="s">
        <v>390</v>
      </c>
      <c r="C113" t="str">
        <f t="shared" si="15"/>
        <v>/edev/{id1}/der/{id2}/upt</v>
      </c>
      <c r="D113" s="9" t="s">
        <v>171</v>
      </c>
      <c r="E113" s="9" t="s">
        <v>174</v>
      </c>
      <c r="F113" s="9" t="s">
        <v>174</v>
      </c>
      <c r="G113" s="22" t="s">
        <v>173</v>
      </c>
      <c r="I113" s="13" t="s">
        <v>60</v>
      </c>
      <c r="J113">
        <v>109</v>
      </c>
      <c r="K113" s="13">
        <v>0</v>
      </c>
      <c r="L113" s="13">
        <v>0</v>
      </c>
      <c r="M113" s="13">
        <v>0</v>
      </c>
      <c r="N113" s="13">
        <v>0</v>
      </c>
      <c r="O113" s="13">
        <v>2</v>
      </c>
      <c r="P113" t="s">
        <v>393</v>
      </c>
      <c r="R113" t="s">
        <v>152</v>
      </c>
      <c r="S113" t="s">
        <v>336</v>
      </c>
      <c r="T113">
        <v>112</v>
      </c>
      <c r="U113" s="15">
        <v>10</v>
      </c>
      <c r="V113" s="15" t="str">
        <f t="shared" si="16"/>
        <v>UsagePoint</v>
      </c>
      <c r="W113" s="7" t="str">
        <f t="shared" si="17"/>
        <v>UsagePoint</v>
      </c>
      <c r="X113" s="7" t="str">
        <f>"GET/HEAD: "&amp;VLOOKUP(D113,MODE!A:D,2,FALSE)&amp;", "&amp;E$1&amp;": "&amp;VLOOKUP(E113,MODE!A:D,2,FALSE)&amp;", "&amp;F$1&amp;": "&amp;VLOOKUP(F113,MODE!A:D,2,FALSE)&amp;", "&amp;G$1&amp;": "&amp;VLOOKUP(G113,MODE!A:D,2,FALSE)</f>
        <v>GET/HEAD: Mandatory, PUT: Error, POST: Error, DELETE: Optional</v>
      </c>
      <c r="Y113" s="7" t="b">
        <f t="shared" si="13"/>
        <v>0</v>
      </c>
      <c r="Z113" s="7" t="b">
        <f t="shared" si="14"/>
        <v>0</v>
      </c>
    </row>
    <row r="114" spans="1:26">
      <c r="A114">
        <v>125</v>
      </c>
      <c r="B114" s="5" t="s">
        <v>391</v>
      </c>
      <c r="C114" t="str">
        <f t="shared" si="15"/>
        <v>/edev/{id1}/der/{id2}/derp</v>
      </c>
      <c r="D114" s="9" t="s">
        <v>171</v>
      </c>
      <c r="E114" s="9" t="s">
        <v>174</v>
      </c>
      <c r="F114" s="9" t="s">
        <v>173</v>
      </c>
      <c r="G114" s="22" t="s">
        <v>174</v>
      </c>
      <c r="I114" s="13" t="s">
        <v>73</v>
      </c>
      <c r="J114">
        <v>109</v>
      </c>
      <c r="K114" s="13">
        <v>1</v>
      </c>
      <c r="L114" s="13">
        <v>0</v>
      </c>
      <c r="M114" s="13">
        <v>0</v>
      </c>
      <c r="N114" s="13">
        <v>0</v>
      </c>
      <c r="O114" s="13">
        <v>2</v>
      </c>
      <c r="P114" t="s">
        <v>394</v>
      </c>
      <c r="R114" t="s">
        <v>152</v>
      </c>
      <c r="S114" t="s">
        <v>336</v>
      </c>
      <c r="T114">
        <v>113</v>
      </c>
      <c r="U114" s="15">
        <v>10</v>
      </c>
      <c r="V114" s="15" t="str">
        <f t="shared" si="16"/>
        <v>DERProgram</v>
      </c>
      <c r="W114" s="7" t="str">
        <f t="shared" si="17"/>
        <v>DERProgramList</v>
      </c>
      <c r="X114" s="7" t="str">
        <f>"GET/HEAD: "&amp;VLOOKUP(D114,MODE!A:D,2,FALSE)&amp;", "&amp;E$1&amp;": "&amp;VLOOKUP(E114,MODE!A:D,2,FALSE)&amp;", "&amp;F$1&amp;": "&amp;VLOOKUP(F114,MODE!A:D,2,FALSE)&amp;", "&amp;G$1&amp;": "&amp;VLOOKUP(G114,MODE!A:D,2,FALSE)</f>
        <v>GET/HEAD: Mandatory, PUT: Error, POST: Optional, DELETE: Error</v>
      </c>
      <c r="Y114" s="7" t="b">
        <f t="shared" si="13"/>
        <v>0</v>
      </c>
      <c r="Z114" s="7" t="b">
        <f t="shared" si="14"/>
        <v>0</v>
      </c>
    </row>
    <row r="115" spans="1:26">
      <c r="A115">
        <v>126</v>
      </c>
      <c r="B115" s="5" t="s">
        <v>392</v>
      </c>
      <c r="C115" t="str">
        <f t="shared" si="15"/>
        <v>/edev/{id1}/der/{id2}/cdp</v>
      </c>
      <c r="D115" s="9" t="s">
        <v>171</v>
      </c>
      <c r="E115" s="9" t="s">
        <v>174</v>
      </c>
      <c r="F115" s="9" t="s">
        <v>174</v>
      </c>
      <c r="G115" s="22" t="s">
        <v>173</v>
      </c>
      <c r="I115" s="13" t="s">
        <v>395</v>
      </c>
      <c r="J115">
        <v>109</v>
      </c>
      <c r="K115" s="13">
        <v>0</v>
      </c>
      <c r="L115" s="13">
        <v>0</v>
      </c>
      <c r="M115" s="13">
        <v>0</v>
      </c>
      <c r="N115" s="13">
        <v>0</v>
      </c>
      <c r="O115" s="13">
        <v>2</v>
      </c>
      <c r="P115" t="s">
        <v>396</v>
      </c>
      <c r="R115" t="s">
        <v>152</v>
      </c>
      <c r="S115" t="s">
        <v>336</v>
      </c>
      <c r="T115">
        <v>114</v>
      </c>
      <c r="U115" s="15">
        <v>7</v>
      </c>
      <c r="V115" s="15" t="str">
        <f t="shared" si="16"/>
        <v>DERProgram</v>
      </c>
      <c r="W115" s="7" t="str">
        <f t="shared" si="17"/>
        <v>DERProgram</v>
      </c>
      <c r="X115" s="7" t="str">
        <f>"GET/HEAD: "&amp;VLOOKUP(D115,MODE!A:D,2,FALSE)&amp;", "&amp;E$1&amp;": "&amp;VLOOKUP(E115,MODE!A:D,2,FALSE)&amp;", "&amp;F$1&amp;": "&amp;VLOOKUP(F115,MODE!A:D,2,FALSE)&amp;", "&amp;G$1&amp;": "&amp;VLOOKUP(G115,MODE!A:D,2,FALSE)</f>
        <v>GET/HEAD: Mandatory, PUT: Error, POST: Error, DELETE: Optional</v>
      </c>
      <c r="Y115" s="7" t="b">
        <f t="shared" si="13"/>
        <v>0</v>
      </c>
      <c r="Z115" s="7" t="b">
        <f t="shared" si="14"/>
        <v>0</v>
      </c>
    </row>
    <row r="116" spans="1:26">
      <c r="A116">
        <v>110</v>
      </c>
      <c r="B116" t="s">
        <v>369</v>
      </c>
      <c r="C116" t="str">
        <f t="shared" si="15"/>
        <v>/edev/{id1}/der/{id2}/derg</v>
      </c>
      <c r="D116" s="9" t="s">
        <v>171</v>
      </c>
      <c r="E116" s="9" t="s">
        <v>171</v>
      </c>
      <c r="F116" s="9" t="s">
        <v>174</v>
      </c>
      <c r="G116" s="22" t="s">
        <v>174</v>
      </c>
      <c r="I116" s="13" t="s">
        <v>370</v>
      </c>
      <c r="J116">
        <v>109</v>
      </c>
      <c r="K116" s="13">
        <v>0</v>
      </c>
      <c r="L116" s="13">
        <v>0</v>
      </c>
      <c r="M116" s="13">
        <v>0</v>
      </c>
      <c r="N116" s="13">
        <v>0</v>
      </c>
      <c r="O116" s="13">
        <v>2</v>
      </c>
      <c r="P116" t="s">
        <v>378</v>
      </c>
      <c r="R116" t="s">
        <v>152</v>
      </c>
      <c r="S116" t="s">
        <v>336</v>
      </c>
      <c r="T116">
        <v>115</v>
      </c>
      <c r="U116" s="15">
        <v>0</v>
      </c>
      <c r="V116" s="15" t="str">
        <f t="shared" si="16"/>
        <v>DERSettings</v>
      </c>
      <c r="W116" s="7" t="str">
        <f t="shared" si="17"/>
        <v>DERSettings</v>
      </c>
      <c r="X116" s="7" t="str">
        <f>"GET/HEAD: "&amp;VLOOKUP(D116,MODE!A:D,2,FALSE)&amp;", "&amp;E$1&amp;": "&amp;VLOOKUP(E116,MODE!A:D,2,FALSE)&amp;", "&amp;F$1&amp;": "&amp;VLOOKUP(F116,MODE!A:D,2,FALSE)&amp;", "&amp;G$1&amp;": "&amp;VLOOKUP(G116,MODE!A:D,2,FALSE)</f>
        <v>GET/HEAD: Mandatory, PUT: Mandatory, POST: Error, DELETE: Error</v>
      </c>
      <c r="Y116" s="7" t="b">
        <f t="shared" si="13"/>
        <v>0</v>
      </c>
      <c r="Z116" s="7" t="b">
        <f t="shared" si="14"/>
        <v>0</v>
      </c>
    </row>
    <row r="117" spans="1:26">
      <c r="A117">
        <v>111</v>
      </c>
      <c r="B117" t="s">
        <v>86</v>
      </c>
      <c r="C117" t="str">
        <f t="shared" si="15"/>
        <v>/edev/{id1}/der/{id2}/ders</v>
      </c>
      <c r="D117" s="9" t="s">
        <v>171</v>
      </c>
      <c r="E117" s="9" t="s">
        <v>171</v>
      </c>
      <c r="F117" s="9" t="s">
        <v>174</v>
      </c>
      <c r="G117" s="22" t="s">
        <v>174</v>
      </c>
      <c r="I117" s="13" t="s">
        <v>121</v>
      </c>
      <c r="J117">
        <v>109</v>
      </c>
      <c r="K117" s="13">
        <v>0</v>
      </c>
      <c r="L117" s="13">
        <v>0</v>
      </c>
      <c r="M117" s="13">
        <v>0</v>
      </c>
      <c r="N117" s="13">
        <v>0</v>
      </c>
      <c r="O117" s="13">
        <v>2</v>
      </c>
      <c r="P117" t="s">
        <v>379</v>
      </c>
      <c r="R117" t="s">
        <v>152</v>
      </c>
      <c r="S117" t="s">
        <v>336</v>
      </c>
      <c r="T117">
        <v>116</v>
      </c>
      <c r="U117" s="15">
        <v>0</v>
      </c>
      <c r="V117" s="15" t="str">
        <f t="shared" si="16"/>
        <v>DERStatus</v>
      </c>
      <c r="W117" s="7" t="str">
        <f t="shared" si="17"/>
        <v>DERStatus</v>
      </c>
      <c r="X117" s="7" t="str">
        <f>"GET/HEAD: "&amp;VLOOKUP(D117,MODE!A:D,2,FALSE)&amp;", "&amp;E$1&amp;": "&amp;VLOOKUP(E117,MODE!A:D,2,FALSE)&amp;", "&amp;F$1&amp;": "&amp;VLOOKUP(F117,MODE!A:D,2,FALSE)&amp;", "&amp;G$1&amp;": "&amp;VLOOKUP(G117,MODE!A:D,2,FALSE)</f>
        <v>GET/HEAD: Mandatory, PUT: Mandatory, POST: Error, DELETE: Error</v>
      </c>
      <c r="Y117" s="7" t="b">
        <f t="shared" si="13"/>
        <v>0</v>
      </c>
      <c r="Z117" s="7" t="b">
        <f t="shared" si="14"/>
        <v>0</v>
      </c>
    </row>
    <row r="118" spans="1:26">
      <c r="A118">
        <v>112</v>
      </c>
      <c r="B118" t="s">
        <v>353</v>
      </c>
      <c r="C118" t="str">
        <f t="shared" si="15"/>
        <v>/edev/{id1}/der/{id2}/dera</v>
      </c>
      <c r="D118" s="9" t="s">
        <v>171</v>
      </c>
      <c r="E118" s="9" t="s">
        <v>171</v>
      </c>
      <c r="F118" s="9" t="s">
        <v>174</v>
      </c>
      <c r="G118" s="22" t="s">
        <v>174</v>
      </c>
      <c r="I118" s="13" t="s">
        <v>352</v>
      </c>
      <c r="J118">
        <v>109</v>
      </c>
      <c r="K118" s="13">
        <v>0</v>
      </c>
      <c r="L118" s="13">
        <v>0</v>
      </c>
      <c r="M118" s="13">
        <v>0</v>
      </c>
      <c r="N118" s="13">
        <v>0</v>
      </c>
      <c r="O118" s="13">
        <v>2</v>
      </c>
      <c r="P118" t="s">
        <v>377</v>
      </c>
      <c r="R118" t="s">
        <v>152</v>
      </c>
      <c r="S118" t="s">
        <v>336</v>
      </c>
      <c r="T118">
        <v>117</v>
      </c>
      <c r="U118" s="15">
        <v>0</v>
      </c>
      <c r="V118" s="15" t="str">
        <f t="shared" si="16"/>
        <v>DERAvailability</v>
      </c>
      <c r="W118" s="7" t="str">
        <f t="shared" si="17"/>
        <v>DERAvailability</v>
      </c>
      <c r="X118" s="7" t="str">
        <f>"GET/HEAD: "&amp;VLOOKUP(D118,MODE!A:D,2,FALSE)&amp;", "&amp;E$1&amp;": "&amp;VLOOKUP(E118,MODE!A:D,2,FALSE)&amp;", "&amp;F$1&amp;": "&amp;VLOOKUP(F118,MODE!A:D,2,FALSE)&amp;", "&amp;G$1&amp;": "&amp;VLOOKUP(G118,MODE!A:D,2,FALSE)</f>
        <v>GET/HEAD: Mandatory, PUT: Mandatory, POST: Error, DELETE: Error</v>
      </c>
      <c r="Y118" s="7" t="b">
        <f t="shared" si="13"/>
        <v>0</v>
      </c>
      <c r="Z118" s="7" t="b">
        <f t="shared" si="14"/>
        <v>0</v>
      </c>
    </row>
    <row r="119" spans="1:26">
      <c r="A119">
        <v>113</v>
      </c>
      <c r="B119" s="5" t="s">
        <v>346</v>
      </c>
      <c r="C119" t="str">
        <f t="shared" si="15"/>
        <v>/edev/{id1}/der/{id2}/dercap</v>
      </c>
      <c r="D119" s="9" t="s">
        <v>171</v>
      </c>
      <c r="E119" s="9" t="s">
        <v>171</v>
      </c>
      <c r="F119" s="9" t="s">
        <v>174</v>
      </c>
      <c r="G119" s="22" t="s">
        <v>174</v>
      </c>
      <c r="I119" s="13" t="s">
        <v>347</v>
      </c>
      <c r="J119">
        <v>109</v>
      </c>
      <c r="K119" s="13">
        <v>0</v>
      </c>
      <c r="L119" s="13">
        <v>0</v>
      </c>
      <c r="M119" s="13">
        <v>0</v>
      </c>
      <c r="N119" s="13">
        <v>0</v>
      </c>
      <c r="O119" s="13">
        <v>2</v>
      </c>
      <c r="P119" t="s">
        <v>348</v>
      </c>
      <c r="R119" t="s">
        <v>152</v>
      </c>
      <c r="S119" t="s">
        <v>336</v>
      </c>
      <c r="T119">
        <v>118</v>
      </c>
      <c r="U119" s="15">
        <v>0</v>
      </c>
      <c r="V119" s="15" t="str">
        <f t="shared" si="16"/>
        <v>DERCapability</v>
      </c>
      <c r="W119" s="7" t="str">
        <f t="shared" si="17"/>
        <v>DERCapability</v>
      </c>
      <c r="X119" s="7" t="str">
        <f>"GET/HEAD: "&amp;VLOOKUP(D119,MODE!A:D,2,FALSE)&amp;", "&amp;E$1&amp;": "&amp;VLOOKUP(E119,MODE!A:D,2,FALSE)&amp;", "&amp;F$1&amp;": "&amp;VLOOKUP(F119,MODE!A:D,2,FALSE)&amp;", "&amp;G$1&amp;": "&amp;VLOOKUP(G119,MODE!A:D,2,FALSE)</f>
        <v>GET/HEAD: Mandatory, PUT: Mandatory, POST: Error, DELETE: Error</v>
      </c>
      <c r="Y119" s="7" t="b">
        <f t="shared" si="13"/>
        <v>0</v>
      </c>
      <c r="Z119" s="7" t="b">
        <f t="shared" si="14"/>
        <v>0</v>
      </c>
    </row>
    <row r="120" spans="1:26">
      <c r="A120">
        <v>114</v>
      </c>
      <c r="B120" t="s">
        <v>19</v>
      </c>
      <c r="C120" t="str">
        <f t="shared" si="15"/>
        <v>/derp</v>
      </c>
      <c r="D120" s="9" t="s">
        <v>171</v>
      </c>
      <c r="E120" s="9" t="s">
        <v>174</v>
      </c>
      <c r="F120" s="9" t="s">
        <v>173</v>
      </c>
      <c r="G120" s="22" t="s">
        <v>174</v>
      </c>
      <c r="I120" s="13" t="s">
        <v>73</v>
      </c>
      <c r="J120">
        <v>0</v>
      </c>
      <c r="K120" s="13">
        <v>1</v>
      </c>
      <c r="L120" s="13">
        <v>0</v>
      </c>
      <c r="M120" s="13">
        <v>0</v>
      </c>
      <c r="N120" s="13">
        <v>0</v>
      </c>
      <c r="O120" s="13">
        <v>0</v>
      </c>
      <c r="P120" t="s">
        <v>248</v>
      </c>
      <c r="R120" t="s">
        <v>152</v>
      </c>
      <c r="S120" t="s">
        <v>336</v>
      </c>
      <c r="T120">
        <v>119</v>
      </c>
      <c r="U120" s="15">
        <v>0</v>
      </c>
      <c r="V120" s="15" t="str">
        <f t="shared" si="16"/>
        <v>DERProgram</v>
      </c>
      <c r="W120" s="7" t="str">
        <f t="shared" si="17"/>
        <v>DERProgramList</v>
      </c>
      <c r="X120" s="7" t="str">
        <f>"GET/HEAD: "&amp;VLOOKUP(D120,MODE!A:D,2,FALSE)&amp;", "&amp;E$1&amp;": "&amp;VLOOKUP(E120,MODE!A:D,2,FALSE)&amp;", "&amp;F$1&amp;": "&amp;VLOOKUP(F120,MODE!A:D,2,FALSE)&amp;", "&amp;G$1&amp;": "&amp;VLOOKUP(G120,MODE!A:D,2,FALSE)</f>
        <v>GET/HEAD: Mandatory, PUT: Error, POST: Optional, DELETE: Error</v>
      </c>
      <c r="Y120" s="7" t="b">
        <f t="shared" si="13"/>
        <v>0</v>
      </c>
      <c r="Z120" s="7" t="b">
        <f t="shared" si="14"/>
        <v>0</v>
      </c>
    </row>
    <row r="121" spans="1:26">
      <c r="A121">
        <v>115</v>
      </c>
      <c r="B121" t="s">
        <v>27</v>
      </c>
      <c r="C121" t="str">
        <f t="shared" si="15"/>
        <v>/derp/{id1}</v>
      </c>
      <c r="D121" s="9" t="s">
        <v>171</v>
      </c>
      <c r="E121" s="9" t="s">
        <v>174</v>
      </c>
      <c r="F121" s="9" t="s">
        <v>174</v>
      </c>
      <c r="G121" s="22" t="s">
        <v>173</v>
      </c>
      <c r="I121" s="13" t="s">
        <v>273</v>
      </c>
      <c r="J121">
        <v>114</v>
      </c>
      <c r="K121" s="13">
        <v>0</v>
      </c>
      <c r="L121" s="13">
        <v>0</v>
      </c>
      <c r="M121" s="13">
        <v>1</v>
      </c>
      <c r="N121" s="13">
        <v>1</v>
      </c>
      <c r="O121" s="13">
        <v>1</v>
      </c>
      <c r="P121" t="s">
        <v>141</v>
      </c>
      <c r="R121" t="s">
        <v>152</v>
      </c>
      <c r="S121" t="s">
        <v>336</v>
      </c>
      <c r="T121">
        <v>120</v>
      </c>
      <c r="U121" s="15">
        <v>0</v>
      </c>
      <c r="V121" s="15" t="str">
        <f t="shared" si="16"/>
        <v>DERProgram</v>
      </c>
      <c r="W121" s="7" t="str">
        <f t="shared" si="17"/>
        <v>DERProgram</v>
      </c>
      <c r="X121" s="7" t="str">
        <f>"GET/HEAD: "&amp;VLOOKUP(D121,MODE!A:D,2,FALSE)&amp;", "&amp;E$1&amp;": "&amp;VLOOKUP(E121,MODE!A:D,2,FALSE)&amp;", "&amp;F$1&amp;": "&amp;VLOOKUP(F121,MODE!A:D,2,FALSE)&amp;", "&amp;G$1&amp;": "&amp;VLOOKUP(G121,MODE!A:D,2,FALSE)</f>
        <v>GET/HEAD: Mandatory, PUT: Error, POST: Error, DELETE: Optional</v>
      </c>
      <c r="Y121" s="7" t="b">
        <f t="shared" si="13"/>
        <v>0</v>
      </c>
      <c r="Z121" s="7" t="b">
        <f t="shared" si="14"/>
        <v>0</v>
      </c>
    </row>
    <row r="122" spans="1:26">
      <c r="A122">
        <v>116</v>
      </c>
      <c r="B122" t="s">
        <v>147</v>
      </c>
      <c r="C122" t="str">
        <f t="shared" si="15"/>
        <v>/derp/{id1}/actderc</v>
      </c>
      <c r="D122" s="9" t="s">
        <v>171</v>
      </c>
      <c r="E122" s="9" t="s">
        <v>174</v>
      </c>
      <c r="F122" s="9" t="s">
        <v>174</v>
      </c>
      <c r="G122" s="22" t="s">
        <v>174</v>
      </c>
      <c r="I122" s="13" t="s">
        <v>144</v>
      </c>
      <c r="J122">
        <v>115</v>
      </c>
      <c r="K122" s="13">
        <v>1</v>
      </c>
      <c r="L122" s="13">
        <v>1</v>
      </c>
      <c r="M122" s="13">
        <v>0</v>
      </c>
      <c r="N122" s="13">
        <v>0</v>
      </c>
      <c r="O122" s="13">
        <v>1</v>
      </c>
      <c r="P122" t="s">
        <v>143</v>
      </c>
      <c r="R122" t="s">
        <v>152</v>
      </c>
      <c r="S122" t="s">
        <v>336</v>
      </c>
      <c r="T122">
        <v>121</v>
      </c>
      <c r="U122" s="15">
        <v>6</v>
      </c>
      <c r="V122" s="15" t="str">
        <f t="shared" si="16"/>
        <v>DERControl</v>
      </c>
      <c r="W122" s="7" t="str">
        <f t="shared" si="17"/>
        <v>DERControlList</v>
      </c>
      <c r="X122" s="7" t="str">
        <f>"GET/HEAD: "&amp;VLOOKUP(D122,MODE!A:D,2,FALSE)&amp;", "&amp;E$1&amp;": "&amp;VLOOKUP(E122,MODE!A:D,2,FALSE)&amp;", "&amp;F$1&amp;": "&amp;VLOOKUP(F122,MODE!A:D,2,FALSE)&amp;", "&amp;G$1&amp;": "&amp;VLOOKUP(G122,MODE!A:D,2,FALSE)</f>
        <v>GET/HEAD: Mandatory, PUT: Error, POST: Error, DELETE: Error</v>
      </c>
      <c r="Y122" s="7" t="b">
        <f t="shared" si="13"/>
        <v>0</v>
      </c>
      <c r="Z122" s="7" t="b">
        <f t="shared" si="14"/>
        <v>0</v>
      </c>
    </row>
    <row r="123" spans="1:26">
      <c r="A123">
        <v>117</v>
      </c>
      <c r="B123" t="s">
        <v>85</v>
      </c>
      <c r="C123" t="str">
        <f t="shared" si="15"/>
        <v>/derp/{id1}/derc</v>
      </c>
      <c r="D123" s="9" t="s">
        <v>171</v>
      </c>
      <c r="E123" s="9" t="s">
        <v>174</v>
      </c>
      <c r="F123" s="9" t="s">
        <v>173</v>
      </c>
      <c r="G123" s="22" t="s">
        <v>174</v>
      </c>
      <c r="I123" s="13" t="s">
        <v>107</v>
      </c>
      <c r="J123">
        <v>115</v>
      </c>
      <c r="K123" s="13">
        <v>1</v>
      </c>
      <c r="L123" s="13">
        <v>1</v>
      </c>
      <c r="M123" s="13">
        <v>0</v>
      </c>
      <c r="N123" s="13">
        <v>0</v>
      </c>
      <c r="O123" s="13">
        <v>1</v>
      </c>
      <c r="P123" t="s">
        <v>249</v>
      </c>
      <c r="R123" t="s">
        <v>152</v>
      </c>
      <c r="S123" t="s">
        <v>336</v>
      </c>
      <c r="T123">
        <v>122</v>
      </c>
      <c r="U123" s="15">
        <v>0</v>
      </c>
      <c r="V123" s="15" t="str">
        <f t="shared" si="16"/>
        <v>DERControl</v>
      </c>
      <c r="W123" s="7" t="str">
        <f t="shared" si="17"/>
        <v>DERControlList</v>
      </c>
      <c r="X123" s="7" t="str">
        <f>"GET/HEAD: "&amp;VLOOKUP(D123,MODE!A:D,2,FALSE)&amp;", "&amp;E$1&amp;": "&amp;VLOOKUP(E123,MODE!A:D,2,FALSE)&amp;", "&amp;F$1&amp;": "&amp;VLOOKUP(F123,MODE!A:D,2,FALSE)&amp;", "&amp;G$1&amp;": "&amp;VLOOKUP(G123,MODE!A:D,2,FALSE)</f>
        <v>GET/HEAD: Mandatory, PUT: Error, POST: Optional, DELETE: Error</v>
      </c>
      <c r="Y123" s="7" t="b">
        <f t="shared" si="13"/>
        <v>0</v>
      </c>
      <c r="Z123" s="7" t="b">
        <f t="shared" si="14"/>
        <v>0</v>
      </c>
    </row>
    <row r="124" spans="1:26">
      <c r="A124">
        <v>118</v>
      </c>
      <c r="B124" t="s">
        <v>84</v>
      </c>
      <c r="C124" t="str">
        <f t="shared" si="15"/>
        <v>/derp/{id1}/derc/{id2}</v>
      </c>
      <c r="D124" s="9" t="s">
        <v>171</v>
      </c>
      <c r="E124" s="9" t="s">
        <v>174</v>
      </c>
      <c r="F124" s="9" t="s">
        <v>174</v>
      </c>
      <c r="G124" s="22" t="s">
        <v>173</v>
      </c>
      <c r="I124" s="13" t="s">
        <v>274</v>
      </c>
      <c r="J124">
        <v>117</v>
      </c>
      <c r="K124" s="13">
        <v>0</v>
      </c>
      <c r="L124" s="13">
        <v>0</v>
      </c>
      <c r="M124" s="13">
        <v>1</v>
      </c>
      <c r="N124" s="13">
        <v>1</v>
      </c>
      <c r="O124" s="13">
        <v>2</v>
      </c>
      <c r="P124" t="s">
        <v>142</v>
      </c>
      <c r="R124" t="s">
        <v>152</v>
      </c>
      <c r="S124" t="s">
        <v>336</v>
      </c>
      <c r="T124">
        <v>123</v>
      </c>
      <c r="U124" s="15">
        <v>0</v>
      </c>
      <c r="V124" s="15" t="str">
        <f t="shared" si="16"/>
        <v>DERControl</v>
      </c>
      <c r="W124" s="7" t="str">
        <f t="shared" si="17"/>
        <v>DERControl</v>
      </c>
      <c r="X124" s="7" t="str">
        <f>"GET/HEAD: "&amp;VLOOKUP(D124,MODE!A:D,2,FALSE)&amp;", "&amp;E$1&amp;": "&amp;VLOOKUP(E124,MODE!A:D,2,FALSE)&amp;", "&amp;F$1&amp;": "&amp;VLOOKUP(F124,MODE!A:D,2,FALSE)&amp;", "&amp;G$1&amp;": "&amp;VLOOKUP(G124,MODE!A:D,2,FALSE)</f>
        <v>GET/HEAD: Mandatory, PUT: Error, POST: Error, DELETE: Optional</v>
      </c>
      <c r="Y124" s="7" t="b">
        <f t="shared" si="13"/>
        <v>0</v>
      </c>
      <c r="Z124" s="7" t="b">
        <f t="shared" si="14"/>
        <v>0</v>
      </c>
    </row>
    <row r="125" spans="1:26">
      <c r="A125">
        <v>123</v>
      </c>
      <c r="B125" t="s">
        <v>388</v>
      </c>
      <c r="C125" t="str">
        <f t="shared" si="15"/>
        <v>/derp/{id1}/dderc</v>
      </c>
      <c r="D125" s="9" t="s">
        <v>171</v>
      </c>
      <c r="E125" s="9" t="s">
        <v>173</v>
      </c>
      <c r="F125" s="9" t="s">
        <v>174</v>
      </c>
      <c r="G125" s="22" t="s">
        <v>174</v>
      </c>
      <c r="I125" s="13" t="s">
        <v>387</v>
      </c>
      <c r="J125">
        <v>115</v>
      </c>
      <c r="K125" s="13">
        <v>0</v>
      </c>
      <c r="L125" s="13">
        <v>0</v>
      </c>
      <c r="M125" s="13">
        <v>0</v>
      </c>
      <c r="N125" s="13">
        <v>1</v>
      </c>
      <c r="O125" s="13">
        <v>1</v>
      </c>
      <c r="P125" t="s">
        <v>389</v>
      </c>
      <c r="R125" t="s">
        <v>152</v>
      </c>
      <c r="S125" t="s">
        <v>336</v>
      </c>
      <c r="T125">
        <v>124</v>
      </c>
      <c r="U125" s="15">
        <v>0</v>
      </c>
      <c r="V125" s="15" t="str">
        <f t="shared" si="16"/>
        <v>DefaultDERControl</v>
      </c>
      <c r="W125" s="7" t="str">
        <f t="shared" si="17"/>
        <v>DefaultDERControl</v>
      </c>
      <c r="X125" s="7" t="str">
        <f>"GET/HEAD: "&amp;VLOOKUP(D125,MODE!A:D,2,FALSE)&amp;", "&amp;E$1&amp;": "&amp;VLOOKUP(E125,MODE!A:D,2,FALSE)&amp;", "&amp;F$1&amp;": "&amp;VLOOKUP(F125,MODE!A:D,2,FALSE)&amp;", "&amp;G$1&amp;": "&amp;VLOOKUP(G125,MODE!A:D,2,FALSE)</f>
        <v>GET/HEAD: Mandatory, PUT: Optional, POST: Error, DELETE: Error</v>
      </c>
      <c r="Y125" s="7" t="b">
        <f t="shared" si="13"/>
        <v>0</v>
      </c>
      <c r="Z125" s="7" t="b">
        <f t="shared" si="14"/>
        <v>0</v>
      </c>
    </row>
    <row r="126" spans="1:26">
      <c r="A126">
        <v>121</v>
      </c>
      <c r="B126" s="5" t="s">
        <v>229</v>
      </c>
      <c r="C126" t="str">
        <f t="shared" si="15"/>
        <v>/derp/{id1}/dc</v>
      </c>
      <c r="D126" s="9" t="s">
        <v>171</v>
      </c>
      <c r="E126" s="9" t="s">
        <v>174</v>
      </c>
      <c r="F126" s="9" t="s">
        <v>173</v>
      </c>
      <c r="G126" s="22" t="s">
        <v>174</v>
      </c>
      <c r="I126" s="13" t="s">
        <v>233</v>
      </c>
      <c r="J126">
        <v>115</v>
      </c>
      <c r="K126" s="13">
        <v>1</v>
      </c>
      <c r="L126" s="13">
        <v>0</v>
      </c>
      <c r="M126" s="13">
        <v>0</v>
      </c>
      <c r="N126" s="13">
        <v>0</v>
      </c>
      <c r="O126" s="13">
        <v>1</v>
      </c>
      <c r="P126" t="s">
        <v>231</v>
      </c>
      <c r="R126" t="s">
        <v>152</v>
      </c>
      <c r="S126" t="s">
        <v>336</v>
      </c>
      <c r="T126">
        <v>125</v>
      </c>
      <c r="U126" s="15">
        <v>0</v>
      </c>
      <c r="V126" s="15" t="str">
        <f t="shared" si="16"/>
        <v>DERCurve</v>
      </c>
      <c r="W126" s="7" t="str">
        <f t="shared" si="17"/>
        <v>DERCurveList</v>
      </c>
      <c r="X126" s="7" t="str">
        <f>"GET/HEAD: "&amp;VLOOKUP(D126,MODE!A:D,2,FALSE)&amp;", "&amp;E$1&amp;": "&amp;VLOOKUP(E126,MODE!A:D,2,FALSE)&amp;", "&amp;F$1&amp;": "&amp;VLOOKUP(F126,MODE!A:D,2,FALSE)&amp;", "&amp;G$1&amp;": "&amp;VLOOKUP(G126,MODE!A:D,2,FALSE)</f>
        <v>GET/HEAD: Mandatory, PUT: Error, POST: Optional, DELETE: Error</v>
      </c>
      <c r="Y126" s="7" t="b">
        <f t="shared" si="13"/>
        <v>0</v>
      </c>
      <c r="Z126" s="7" t="b">
        <f t="shared" si="14"/>
        <v>0</v>
      </c>
    </row>
    <row r="127" spans="1:26">
      <c r="A127">
        <v>122</v>
      </c>
      <c r="B127" s="5" t="s">
        <v>230</v>
      </c>
      <c r="C127" t="str">
        <f t="shared" si="15"/>
        <v>/derp/{id1}/dc/{id2}</v>
      </c>
      <c r="D127" s="9" t="s">
        <v>171</v>
      </c>
      <c r="E127" s="9" t="s">
        <v>174</v>
      </c>
      <c r="F127" s="9" t="s">
        <v>174</v>
      </c>
      <c r="G127" s="22" t="s">
        <v>173</v>
      </c>
      <c r="I127" s="13" t="s">
        <v>274</v>
      </c>
      <c r="J127">
        <v>121</v>
      </c>
      <c r="K127" s="13">
        <v>0</v>
      </c>
      <c r="L127" s="13">
        <v>0</v>
      </c>
      <c r="M127" s="13">
        <v>1</v>
      </c>
      <c r="N127" s="13">
        <v>1</v>
      </c>
      <c r="O127" s="13">
        <v>2</v>
      </c>
      <c r="P127" t="s">
        <v>232</v>
      </c>
      <c r="R127" t="s">
        <v>152</v>
      </c>
      <c r="S127" t="s">
        <v>336</v>
      </c>
      <c r="T127">
        <v>126</v>
      </c>
      <c r="U127" s="15">
        <v>0</v>
      </c>
      <c r="V127" s="15" t="str">
        <f t="shared" si="16"/>
        <v>DERCurve</v>
      </c>
      <c r="W127" s="7" t="str">
        <f t="shared" si="17"/>
        <v>DERCurve</v>
      </c>
      <c r="X127" s="7" t="str">
        <f>"GET/HEAD: "&amp;VLOOKUP(D127,MODE!A:D,2,FALSE)&amp;", "&amp;E$1&amp;": "&amp;VLOOKUP(E127,MODE!A:D,2,FALSE)&amp;", "&amp;F$1&amp;": "&amp;VLOOKUP(F127,MODE!A:D,2,FALSE)&amp;", "&amp;G$1&amp;": "&amp;VLOOKUP(G127,MODE!A:D,2,FALSE)</f>
        <v>GET/HEAD: Mandatory, PUT: Error, POST: Error, DELETE: Optional</v>
      </c>
      <c r="Y127" s="7" t="b">
        <f t="shared" si="13"/>
        <v>0</v>
      </c>
      <c r="Z127" s="7" t="b">
        <f t="shared" si="14"/>
        <v>0</v>
      </c>
    </row>
  </sheetData>
  <autoFilter ref="A1:Z123">
    <sortState ref="A2:Z127">
      <sortCondition ref="T1:T127"/>
    </sortState>
  </autoFilter>
  <conditionalFormatting sqref="H122 I71:I72 D2:H25 D27:H33 D43:H119 D128:H1048576">
    <cfRule type="containsText" dxfId="119" priority="171" operator="containsText" text="D">
      <formula>NOT(ISERROR(SEARCH("D",D2)))</formula>
    </cfRule>
    <cfRule type="containsText" dxfId="118" priority="172" operator="containsText" text="E">
      <formula>NOT(ISERROR(SEARCH("E",D2)))</formula>
    </cfRule>
    <cfRule type="containsText" dxfId="117" priority="173" operator="containsText" text="O">
      <formula>NOT(ISERROR(SEARCH("O",D2)))</formula>
    </cfRule>
    <cfRule type="containsText" dxfId="116" priority="174" operator="containsText" text="M">
      <formula>NOT(ISERROR(SEARCH("M",D2)))</formula>
    </cfRule>
  </conditionalFormatting>
  <conditionalFormatting sqref="A1 F3:H25 G2:H25 D1:F25 H122 I71:I72 D20:H25 D27:H33 D43:H119 D128:H1048576">
    <cfRule type="cellIs" dxfId="115" priority="169" operator="equal">
      <formula>"D"</formula>
    </cfRule>
    <cfRule type="cellIs" dxfId="114" priority="170" operator="equal">
      <formula>"O"</formula>
    </cfRule>
  </conditionalFormatting>
  <conditionalFormatting sqref="A1 F3:H25 G2:H25 D1:F25 H122 O2:O25 I71:I72 D20:H25 D27:H33 O27:O33 K128:N1048576 O43:O52 D43:H119 K1:N52 K53:O119 D128:H1048576">
    <cfRule type="cellIs" dxfId="113" priority="167" operator="equal">
      <formula>"O"</formula>
    </cfRule>
    <cfRule type="cellIs" dxfId="112" priority="168" operator="equal">
      <formula>"O"</formula>
    </cfRule>
  </conditionalFormatting>
  <conditionalFormatting sqref="D33:H43">
    <cfRule type="containsText" dxfId="111" priority="157" operator="containsText" text="D">
      <formula>NOT(ISERROR(SEARCH("D",D33)))</formula>
    </cfRule>
    <cfRule type="containsText" dxfId="110" priority="158" operator="containsText" text="E">
      <formula>NOT(ISERROR(SEARCH("E",D33)))</formula>
    </cfRule>
    <cfRule type="containsText" dxfId="109" priority="159" operator="containsText" text="O">
      <formula>NOT(ISERROR(SEARCH("O",D33)))</formula>
    </cfRule>
    <cfRule type="containsText" dxfId="108" priority="160" operator="containsText" text="M">
      <formula>NOT(ISERROR(SEARCH("M",D33)))</formula>
    </cfRule>
  </conditionalFormatting>
  <conditionalFormatting sqref="D33:H43">
    <cfRule type="cellIs" dxfId="107" priority="155" operator="equal">
      <formula>"D"</formula>
    </cfRule>
    <cfRule type="cellIs" dxfId="106" priority="156" operator="equal">
      <formula>"O"</formula>
    </cfRule>
  </conditionalFormatting>
  <conditionalFormatting sqref="D33:H43 O33:O43">
    <cfRule type="cellIs" dxfId="105" priority="153" operator="equal">
      <formula>"O"</formula>
    </cfRule>
    <cfRule type="cellIs" dxfId="104" priority="154" operator="equal">
      <formula>"O"</formula>
    </cfRule>
  </conditionalFormatting>
  <conditionalFormatting sqref="D25:H27">
    <cfRule type="containsText" dxfId="103" priority="117" operator="containsText" text="D">
      <formula>NOT(ISERROR(SEARCH("D",D25)))</formula>
    </cfRule>
    <cfRule type="containsText" dxfId="102" priority="118" operator="containsText" text="E">
      <formula>NOT(ISERROR(SEARCH("E",D25)))</formula>
    </cfRule>
    <cfRule type="containsText" dxfId="101" priority="119" operator="containsText" text="O">
      <formula>NOT(ISERROR(SEARCH("O",D25)))</formula>
    </cfRule>
    <cfRule type="containsText" dxfId="100" priority="120" operator="containsText" text="M">
      <formula>NOT(ISERROR(SEARCH("M",D25)))</formula>
    </cfRule>
  </conditionalFormatting>
  <conditionalFormatting sqref="D25:H27">
    <cfRule type="cellIs" dxfId="99" priority="115" operator="equal">
      <formula>"D"</formula>
    </cfRule>
    <cfRule type="cellIs" dxfId="98" priority="116" operator="equal">
      <formula>"O"</formula>
    </cfRule>
  </conditionalFormatting>
  <conditionalFormatting sqref="D25:H27 O25:O27">
    <cfRule type="cellIs" dxfId="97" priority="113" operator="equal">
      <formula>"O"</formula>
    </cfRule>
    <cfRule type="cellIs" dxfId="96" priority="114" operator="equal">
      <formula>"O"</formula>
    </cfRule>
  </conditionalFormatting>
  <conditionalFormatting sqref="H123">
    <cfRule type="containsText" dxfId="95" priority="85" operator="containsText" text="D">
      <formula>NOT(ISERROR(SEARCH("D",H123)))</formula>
    </cfRule>
    <cfRule type="containsText" dxfId="94" priority="86" operator="containsText" text="E">
      <formula>NOT(ISERROR(SEARCH("E",H123)))</formula>
    </cfRule>
    <cfRule type="containsText" dxfId="93" priority="87" operator="containsText" text="O">
      <formula>NOT(ISERROR(SEARCH("O",H123)))</formula>
    </cfRule>
    <cfRule type="containsText" dxfId="92" priority="88" operator="containsText" text="M">
      <formula>NOT(ISERROR(SEARCH("M",H123)))</formula>
    </cfRule>
  </conditionalFormatting>
  <conditionalFormatting sqref="H123">
    <cfRule type="cellIs" dxfId="91" priority="83" operator="equal">
      <formula>"D"</formula>
    </cfRule>
    <cfRule type="cellIs" dxfId="90" priority="84" operator="equal">
      <formula>"O"</formula>
    </cfRule>
  </conditionalFormatting>
  <conditionalFormatting sqref="H123">
    <cfRule type="cellIs" dxfId="89" priority="81" operator="equal">
      <formula>"O"</formula>
    </cfRule>
    <cfRule type="cellIs" dxfId="88" priority="82" operator="equal">
      <formula>"O"</formula>
    </cfRule>
  </conditionalFormatting>
  <conditionalFormatting sqref="H121">
    <cfRule type="cellIs" dxfId="87" priority="65" operator="equal">
      <formula>"O"</formula>
    </cfRule>
    <cfRule type="cellIs" dxfId="86" priority="66" operator="equal">
      <formula>"O"</formula>
    </cfRule>
  </conditionalFormatting>
  <conditionalFormatting sqref="D120:H120">
    <cfRule type="containsText" dxfId="85" priority="77" operator="containsText" text="D">
      <formula>NOT(ISERROR(SEARCH("D",D120)))</formula>
    </cfRule>
    <cfRule type="containsText" dxfId="84" priority="78" operator="containsText" text="E">
      <formula>NOT(ISERROR(SEARCH("E",D120)))</formula>
    </cfRule>
    <cfRule type="containsText" dxfId="83" priority="79" operator="containsText" text="O">
      <formula>NOT(ISERROR(SEARCH("O",D120)))</formula>
    </cfRule>
    <cfRule type="containsText" dxfId="82" priority="80" operator="containsText" text="M">
      <formula>NOT(ISERROR(SEARCH("M",D120)))</formula>
    </cfRule>
  </conditionalFormatting>
  <conditionalFormatting sqref="D120:H120">
    <cfRule type="cellIs" dxfId="81" priority="75" operator="equal">
      <formula>"D"</formula>
    </cfRule>
    <cfRule type="cellIs" dxfId="80" priority="76" operator="equal">
      <formula>"O"</formula>
    </cfRule>
  </conditionalFormatting>
  <conditionalFormatting sqref="D120:H120 K120:O120">
    <cfRule type="cellIs" dxfId="79" priority="73" operator="equal">
      <formula>"O"</formula>
    </cfRule>
    <cfRule type="cellIs" dxfId="78" priority="74" operator="equal">
      <formula>"O"</formula>
    </cfRule>
  </conditionalFormatting>
  <conditionalFormatting sqref="H121">
    <cfRule type="containsText" dxfId="77" priority="69" operator="containsText" text="D">
      <formula>NOT(ISERROR(SEARCH("D",H121)))</formula>
    </cfRule>
    <cfRule type="containsText" dxfId="76" priority="70" operator="containsText" text="E">
      <formula>NOT(ISERROR(SEARCH("E",H121)))</formula>
    </cfRule>
    <cfRule type="containsText" dxfId="75" priority="71" operator="containsText" text="O">
      <formula>NOT(ISERROR(SEARCH("O",H121)))</formula>
    </cfRule>
    <cfRule type="containsText" dxfId="74" priority="72" operator="containsText" text="M">
      <formula>NOT(ISERROR(SEARCH("M",H121)))</formula>
    </cfRule>
  </conditionalFormatting>
  <conditionalFormatting sqref="H121">
    <cfRule type="cellIs" dxfId="73" priority="67" operator="equal">
      <formula>"D"</formula>
    </cfRule>
    <cfRule type="cellIs" dxfId="72" priority="68" operator="equal">
      <formula>"O"</formula>
    </cfRule>
  </conditionalFormatting>
  <conditionalFormatting sqref="D120:H120 K120:O120">
    <cfRule type="cellIs" dxfId="71" priority="49" operator="equal">
      <formula>"O"</formula>
    </cfRule>
    <cfRule type="cellIs" dxfId="70" priority="50" operator="equal">
      <formula>"O"</formula>
    </cfRule>
  </conditionalFormatting>
  <conditionalFormatting sqref="D119:H119">
    <cfRule type="containsText" dxfId="69" priority="61" operator="containsText" text="D">
      <formula>NOT(ISERROR(SEARCH("D",D119)))</formula>
    </cfRule>
    <cfRule type="containsText" dxfId="68" priority="62" operator="containsText" text="E">
      <formula>NOT(ISERROR(SEARCH("E",D119)))</formula>
    </cfRule>
    <cfRule type="containsText" dxfId="67" priority="63" operator="containsText" text="O">
      <formula>NOT(ISERROR(SEARCH("O",D119)))</formula>
    </cfRule>
    <cfRule type="containsText" dxfId="66" priority="64" operator="containsText" text="M">
      <formula>NOT(ISERROR(SEARCH("M",D119)))</formula>
    </cfRule>
  </conditionalFormatting>
  <conditionalFormatting sqref="D119:H119">
    <cfRule type="cellIs" dxfId="65" priority="59" operator="equal">
      <formula>"D"</formula>
    </cfRule>
    <cfRule type="cellIs" dxfId="64" priority="60" operator="equal">
      <formula>"O"</formula>
    </cfRule>
  </conditionalFormatting>
  <conditionalFormatting sqref="D119:H119 K119:O119">
    <cfRule type="cellIs" dxfId="63" priority="57" operator="equal">
      <formula>"O"</formula>
    </cfRule>
    <cfRule type="cellIs" dxfId="62" priority="58" operator="equal">
      <formula>"O"</formula>
    </cfRule>
  </conditionalFormatting>
  <conditionalFormatting sqref="D120:H120">
    <cfRule type="containsText" dxfId="61" priority="53" operator="containsText" text="D">
      <formula>NOT(ISERROR(SEARCH("D",D120)))</formula>
    </cfRule>
    <cfRule type="containsText" dxfId="60" priority="54" operator="containsText" text="E">
      <formula>NOT(ISERROR(SEARCH("E",D120)))</formula>
    </cfRule>
    <cfRule type="containsText" dxfId="59" priority="55" operator="containsText" text="O">
      <formula>NOT(ISERROR(SEARCH("O",D120)))</formula>
    </cfRule>
    <cfRule type="containsText" dxfId="58" priority="56" operator="containsText" text="M">
      <formula>NOT(ISERROR(SEARCH("M",D120)))</formula>
    </cfRule>
  </conditionalFormatting>
  <conditionalFormatting sqref="D120:H120">
    <cfRule type="cellIs" dxfId="57" priority="51" operator="equal">
      <formula>"D"</formula>
    </cfRule>
    <cfRule type="cellIs" dxfId="56" priority="52" operator="equal">
      <formula>"O"</formula>
    </cfRule>
  </conditionalFormatting>
  <conditionalFormatting sqref="D121:G123">
    <cfRule type="containsText" dxfId="55" priority="45" operator="containsText" text="D">
      <formula>NOT(ISERROR(SEARCH("D",D121)))</formula>
    </cfRule>
    <cfRule type="containsText" dxfId="54" priority="46" operator="containsText" text="E">
      <formula>NOT(ISERROR(SEARCH("E",D121)))</formula>
    </cfRule>
    <cfRule type="containsText" dxfId="53" priority="47" operator="containsText" text="O">
      <formula>NOT(ISERROR(SEARCH("O",D121)))</formula>
    </cfRule>
    <cfRule type="containsText" dxfId="52" priority="48" operator="containsText" text="M">
      <formula>NOT(ISERROR(SEARCH("M",D121)))</formula>
    </cfRule>
  </conditionalFormatting>
  <conditionalFormatting sqref="D121:G123">
    <cfRule type="cellIs" dxfId="51" priority="43" operator="equal">
      <formula>"D"</formula>
    </cfRule>
    <cfRule type="cellIs" dxfId="50" priority="44" operator="equal">
      <formula>"O"</formula>
    </cfRule>
  </conditionalFormatting>
  <conditionalFormatting sqref="D121:G123">
    <cfRule type="cellIs" dxfId="49" priority="41" operator="equal">
      <formula>"O"</formula>
    </cfRule>
    <cfRule type="cellIs" dxfId="48" priority="42" operator="equal">
      <formula>"O"</formula>
    </cfRule>
  </conditionalFormatting>
  <conditionalFormatting sqref="D121:G123">
    <cfRule type="cellIs" dxfId="47" priority="33" operator="equal">
      <formula>"O"</formula>
    </cfRule>
    <cfRule type="cellIs" dxfId="46" priority="34" operator="equal">
      <formula>"O"</formula>
    </cfRule>
  </conditionalFormatting>
  <conditionalFormatting sqref="D121:G123">
    <cfRule type="containsText" dxfId="45" priority="37" operator="containsText" text="D">
      <formula>NOT(ISERROR(SEARCH("D",D121)))</formula>
    </cfRule>
    <cfRule type="containsText" dxfId="44" priority="38" operator="containsText" text="E">
      <formula>NOT(ISERROR(SEARCH("E",D121)))</formula>
    </cfRule>
    <cfRule type="containsText" dxfId="43" priority="39" operator="containsText" text="O">
      <formula>NOT(ISERROR(SEARCH("O",D121)))</formula>
    </cfRule>
    <cfRule type="containsText" dxfId="42" priority="40" operator="containsText" text="M">
      <formula>NOT(ISERROR(SEARCH("M",D121)))</formula>
    </cfRule>
  </conditionalFormatting>
  <conditionalFormatting sqref="D121:G123">
    <cfRule type="cellIs" dxfId="41" priority="35" operator="equal">
      <formula>"D"</formula>
    </cfRule>
    <cfRule type="cellIs" dxfId="40" priority="36" operator="equal">
      <formula>"O"</formula>
    </cfRule>
  </conditionalFormatting>
  <conditionalFormatting sqref="K122:O122">
    <cfRule type="cellIs" dxfId="39" priority="31" operator="equal">
      <formula>"O"</formula>
    </cfRule>
    <cfRule type="cellIs" dxfId="38" priority="32" operator="equal">
      <formula>"O"</formula>
    </cfRule>
  </conditionalFormatting>
  <conditionalFormatting sqref="K121:O121">
    <cfRule type="cellIs" dxfId="37" priority="29" operator="equal">
      <formula>"O"</formula>
    </cfRule>
    <cfRule type="cellIs" dxfId="36" priority="30" operator="equal">
      <formula>"O"</formula>
    </cfRule>
  </conditionalFormatting>
  <conditionalFormatting sqref="K123:O123">
    <cfRule type="cellIs" dxfId="35" priority="27" operator="equal">
      <formula>"O"</formula>
    </cfRule>
    <cfRule type="cellIs" dxfId="34" priority="28" operator="equal">
      <formula>"O"</formula>
    </cfRule>
  </conditionalFormatting>
  <conditionalFormatting sqref="D124:H124">
    <cfRule type="containsText" dxfId="33" priority="23" operator="containsText" text="D">
      <formula>NOT(ISERROR(SEARCH("D",D124)))</formula>
    </cfRule>
    <cfRule type="containsText" dxfId="32" priority="24" operator="containsText" text="E">
      <formula>NOT(ISERROR(SEARCH("E",D124)))</formula>
    </cfRule>
    <cfRule type="containsText" dxfId="31" priority="25" operator="containsText" text="O">
      <formula>NOT(ISERROR(SEARCH("O",D124)))</formula>
    </cfRule>
    <cfRule type="containsText" dxfId="30" priority="26" operator="containsText" text="M">
      <formula>NOT(ISERROR(SEARCH("M",D124)))</formula>
    </cfRule>
  </conditionalFormatting>
  <conditionalFormatting sqref="D124:H124">
    <cfRule type="cellIs" dxfId="29" priority="21" operator="equal">
      <formula>"D"</formula>
    </cfRule>
    <cfRule type="cellIs" dxfId="28" priority="22" operator="equal">
      <formula>"O"</formula>
    </cfRule>
  </conditionalFormatting>
  <conditionalFormatting sqref="D124:H124 K124:O124">
    <cfRule type="cellIs" dxfId="27" priority="19" operator="equal">
      <formula>"O"</formula>
    </cfRule>
    <cfRule type="cellIs" dxfId="26" priority="20" operator="equal">
      <formula>"O"</formula>
    </cfRule>
  </conditionalFormatting>
  <conditionalFormatting sqref="D125:H125">
    <cfRule type="containsText" dxfId="25" priority="15" operator="containsText" text="D">
      <formula>NOT(ISERROR(SEARCH("D",D125)))</formula>
    </cfRule>
    <cfRule type="containsText" dxfId="24" priority="16" operator="containsText" text="E">
      <formula>NOT(ISERROR(SEARCH("E",D125)))</formula>
    </cfRule>
    <cfRule type="containsText" dxfId="23" priority="17" operator="containsText" text="O">
      <formula>NOT(ISERROR(SEARCH("O",D125)))</formula>
    </cfRule>
    <cfRule type="containsText" dxfId="22" priority="18" operator="containsText" text="M">
      <formula>NOT(ISERROR(SEARCH("M",D125)))</formula>
    </cfRule>
  </conditionalFormatting>
  <conditionalFormatting sqref="D125:H125">
    <cfRule type="cellIs" dxfId="21" priority="13" operator="equal">
      <formula>"D"</formula>
    </cfRule>
    <cfRule type="cellIs" dxfId="20" priority="14" operator="equal">
      <formula>"O"</formula>
    </cfRule>
  </conditionalFormatting>
  <conditionalFormatting sqref="D125:H125 K125:O125">
    <cfRule type="cellIs" dxfId="19" priority="11" operator="equal">
      <formula>"O"</formula>
    </cfRule>
    <cfRule type="cellIs" dxfId="18" priority="12" operator="equal">
      <formula>"O"</formula>
    </cfRule>
  </conditionalFormatting>
  <conditionalFormatting sqref="K126:N127">
    <cfRule type="cellIs" dxfId="17" priority="9" operator="equal">
      <formula>"O"</formula>
    </cfRule>
    <cfRule type="cellIs" dxfId="16" priority="10" operator="equal">
      <formula>"O"</formula>
    </cfRule>
  </conditionalFormatting>
  <conditionalFormatting sqref="D126:H127">
    <cfRule type="containsText" dxfId="15" priority="5" operator="containsText" text="D">
      <formula>NOT(ISERROR(SEARCH("D",D126)))</formula>
    </cfRule>
    <cfRule type="containsText" dxfId="14" priority="6" operator="containsText" text="E">
      <formula>NOT(ISERROR(SEARCH("E",D126)))</formula>
    </cfRule>
    <cfRule type="containsText" dxfId="13" priority="7" operator="containsText" text="O">
      <formula>NOT(ISERROR(SEARCH("O",D126)))</formula>
    </cfRule>
    <cfRule type="containsText" dxfId="12" priority="8" operator="containsText" text="M">
      <formula>NOT(ISERROR(SEARCH("M",D126)))</formula>
    </cfRule>
  </conditionalFormatting>
  <conditionalFormatting sqref="D126:H127">
    <cfRule type="cellIs" dxfId="11" priority="3" operator="equal">
      <formula>"D"</formula>
    </cfRule>
    <cfRule type="cellIs" dxfId="10" priority="4" operator="equal">
      <formula>"O"</formula>
    </cfRule>
  </conditionalFormatting>
  <conditionalFormatting sqref="D126:H127 O126:O127">
    <cfRule type="cellIs" dxfId="9" priority="1" operator="equal">
      <formula>"O"</formula>
    </cfRule>
    <cfRule type="cellIs" dxfId="8" priority="2" operator="equal">
      <formula>"O"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128"/>
  <sheetViews>
    <sheetView workbookViewId="0"/>
  </sheetViews>
  <sheetFormatPr baseColWidth="10" defaultColWidth="9.1640625" defaultRowHeight="14" x14ac:dyDescent="0"/>
  <cols>
    <col min="1" max="1" width="23.5" style="1" customWidth="1"/>
    <col min="2" max="2" width="38.1640625" style="1" customWidth="1"/>
    <col min="3" max="3" width="16.5" style="1" customWidth="1"/>
    <col min="4" max="4" width="38.5" style="1" customWidth="1"/>
    <col min="5" max="5" width="38.1640625" style="1" customWidth="1"/>
    <col min="6" max="6" width="24" style="1" customWidth="1"/>
    <col min="7" max="7" width="14.5" style="1" customWidth="1"/>
    <col min="8" max="8" width="9.1640625" style="8"/>
    <col min="9" max="9" width="41.1640625" style="6" customWidth="1"/>
    <col min="10" max="16384" width="9.1640625" style="1"/>
  </cols>
  <sheetData>
    <row r="1" spans="1:9" ht="61.5" customHeight="1">
      <c r="A1" s="1" t="str">
        <f>"&lt;application xmlns:xsi=""http://www.w3.org/2001/XMLSchema-instance"" xsi:schemaLocation=""http://wadl.dev.java.net/2009/02 wadl.xsd"" xmlns:xsd=""http://www.w3.org/2001/XMLSchema"" xmlns:wx=""http://zigbee.org/wadlExt""  "&amp;Var!B1&amp;" xmlns=""http://wadl.dev.java.net/2009/02""&gt;"</f>
        <v>&lt;application xmlns:xsi="http://www.w3.org/2001/XMLSchema-instance" xsi:schemaLocation="http://wadl.dev.java.net/2009/02 wadl.xsd" xmlns:xsd="http://www.w3.org/2001/XMLSchema" xmlns:wx="http://zigbee.org/wadlExt"  xmlns:sep="http://ieee.org/2030.5" xmlns="http://wadl.dev.java.net/2009/02"&gt;</v>
      </c>
      <c r="B1" s="1" t="str">
        <f>"&lt;doc title="""&amp;Var!B2&amp;"""&gt;"&amp;Var!B3&amp;"&lt;/doc&gt;&lt;grammars&gt; &lt;include href="""&amp;Var!B4&amp;"""/&gt;&lt;/grammars&gt;&lt;resources wx:sampleBase="""&amp;Var!B5&amp;"""&gt;"</f>
        <v>&lt;doc title="SEP 2.0 Application"&gt;SEP 2.0.0&lt;/doc&gt;&lt;grammars&gt; &lt;include href="sep.xsd"/&gt;&lt;/grammars&gt;&lt;resources wx:sampleBase="http://localhost/sep/"&gt;</v>
      </c>
    </row>
    <row r="2" spans="1:9" ht="130.75" customHeight="1">
      <c r="A2" s="1" t="str">
        <f>"&lt;resource id="""&amp;Controls!B2&amp;""" "&amp;IF(0,"path=""{"&amp;Controls!B2&amp;"Path}""","")&amp;" wx:samplePath="""&amp;Controls!C2&amp;"""&gt;&lt;doc title="""&amp;Controls!$B2&amp;"""&gt;"&amp;Controls!P2&amp;"&lt;/doc&gt;"</f>
        <v>&lt;resource id="DeviceCapability"  wx:samplePath="/dcap"&gt;&lt;doc title="DeviceCapability"&gt;Used to determine the resources available on a server.&lt;/doc&gt;</v>
      </c>
      <c r="B2" s="1" t="str">
        <f>"&lt;method id="""&amp;Controls!D$1&amp;Controls!$B2&amp;""" name="""&amp;Controls!D$1&amp;""" wx:mode="""&amp;Controls!D2&amp;"""&gt;"&amp;IF(Controls!D2="E","&lt;response status=""400""/&gt;&lt;response status=""405""/&gt;",I2&amp;"&lt;response&gt;&lt;representation mediaType="""&amp;Var!$B$18&amp;""" element=""sep:"&amp;Controls!$W2&amp;"""/&gt;&lt;representation mediaType="""&amp;Var!$B$19&amp;""" element=""sep:"&amp;Controls!$W2&amp;"""/&gt;&lt;/response&gt;")&amp;"&lt;/method&gt;"</f>
        <v>&lt;method id="GETDeviceCapability" name="GET" wx:mode="M"&gt;&lt;response&gt;&lt;representation mediaType="application/sep+xml" element="sep:DeviceCapability"/&gt;&lt;representation mediaType="application/sep-exi" element="sep:DeviceCapability"/&gt;&lt;/response&gt;&lt;/method&gt;</v>
      </c>
      <c r="C2" s="1" t="str">
        <f>"&lt;method id=""HEAD"&amp;Controls!$B2&amp;""" name=""HEAD"" wx:mode="""&amp;Controls!D2&amp;"""/&gt;"</f>
        <v>&lt;method id="HEADDeviceCapability" name="HEAD" wx:mode="M"/&gt;</v>
      </c>
      <c r="D2" s="1" t="str">
        <f>"&lt;method id="""&amp;Controls!E$1&amp;Controls!$B2&amp;""" name="""&amp;Controls!E$1&amp;""" wx:mode="""&amp;Controls!E2&amp;"""&gt;&lt;request&gt;&lt;representation mediaType="""&amp;Var!$B$18&amp;""" element=""sep:"&amp;Controls!$V2&amp;"""/&gt;&lt;representation mediaType="""&amp;Var!$B$19&amp;""" element=""sep:"&amp;Controls!$V2&amp;"""/&gt;&lt;/request&gt;"&amp;IF(Controls!E2="E","&lt;response status=""400""/&gt;&lt;response status=""405""/&gt;","")&amp;"&lt;/method&gt;"</f>
        <v>&lt;method id="PUTDeviceCapability" name="PUT" wx:mode="E"&gt;&lt;request&gt;&lt;representation mediaType="application/sep+xml" element="sep:DeviceCapability"/&gt;&lt;representation mediaType="application/sep-exi" element="sep:DeviceCapability"/&gt;&lt;/request&gt;&lt;response status="400"/&gt;&lt;response status="405"/&gt;&lt;/method&gt;</v>
      </c>
      <c r="E2" s="1" t="str">
        <f>"&lt;method id="""&amp;Controls!F$1&amp;Controls!$B2&amp;""" name="""&amp;Controls!F$1&amp;""" wx:mode="""&amp;Controls!F2&amp;"""&gt;"&amp;IF(Controls!B2="MirrorUsagePoint",Var!$B$21,"&lt;request&gt;&lt;representation mediaType="""&amp;Var!$B$18&amp;""" element=""sep:"&amp;Controls!$V2&amp;"""/&gt;&lt;representation mediaType="""&amp;Var!$B$19&amp;""" element=""sep:"&amp;Controls!$V2&amp;"""/&gt;&lt;/request&gt;")&amp;IF(Controls!F2="E","&lt;response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id="POSTDeviceCapability" name="POST" wx:mode="E"&gt;&lt;request&gt;&lt;representation mediaType="application/sep+xml" element="sep:DeviceCapability"/&gt;&lt;representation mediaType="application/sep-exi" element="sep:DeviceCapability"/&gt;&lt;/request&gt;&lt;response status="400"/&gt;&lt;response status="405"/&gt;&lt;/method&gt;</v>
      </c>
      <c r="F2" s="1" t="str">
        <f>"&lt;method id="""&amp;Controls!G$1&amp;Controls!$B2&amp;""" name="""&amp;Controls!G$1&amp;""" wx:mode="""&amp;Controls!G2&amp;"""&gt;"&amp;IF(Controls!G2="E","&lt;response status=""400""/&gt;&lt;response status=""405""/&gt;","&lt;response&gt;&lt;representation mediaType=""application/xml"" element=""sep:"&amp;Controls!$V2&amp;"""/&gt;&lt;/response&gt;")&amp;"&lt;/method&gt;"</f>
        <v>&lt;method id="DELETEDeviceCapability" name="DELETE" wx:mode="E"&gt;&lt;response status="400"/&gt;&lt;response status="405"/&gt;&lt;/method&gt;</v>
      </c>
      <c r="G2" s="1" t="str">
        <f ca="1">IF(ISBLANK(Controls!B2),"",OFFSET(Var!B$11,Controls!O2,0)&amp;"&lt;/resource&gt;")</f>
        <v>&lt;/resource&gt;</v>
      </c>
      <c r="I2" s="6" t="str">
        <f>IF(Controls!K2,"&lt;request&gt;&lt;param name=""s"" style=""query"" type=""xsd:int""&gt;&lt;doc&gt;start&lt;/doc&gt;&lt;/param&gt;"&amp;IF(Controls!L2,"&lt;param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3" spans="1:9" ht="51" customHeight="1">
      <c r="A3" s="1" t="str">
        <f>"&lt;resource id="""&amp;Controls!B3&amp;""" "&amp;IF(0,"path=""{"&amp;Controls!B3&amp;"Path}""","")&amp;" wx:samplePath="""&amp;Controls!C3&amp;"""&gt;&lt;doc title="""&amp;Controls!$B3&amp;"""&gt;"&amp;Controls!P3&amp;"&lt;/doc&gt;"</f>
        <v>&lt;resource id="SelfDevice"  wx:samplePath="/sdev"&gt;&lt;doc title="SelfDevice"&gt;The device that is providing the services being accessed. &lt;/doc&gt;</v>
      </c>
      <c r="B3" s="1" t="str">
        <f>"&lt;method id="""&amp;Controls!D$1&amp;Controls!$B3&amp;""" name="""&amp;Controls!D$1&amp;""" wx:mode="""&amp;Controls!D3&amp;"""&gt;"&amp;IF(Controls!D3="E","&lt;response status=""400""/&gt;&lt;response status=""405""/&gt;",I3&amp;"&lt;response&gt;&lt;representation mediaType="""&amp;Var!$B$18&amp;""" element=""sep:"&amp;Controls!$W3&amp;"""/&gt;&lt;representation mediaType="""&amp;Var!$B$19&amp;""" element=""sep:"&amp;Controls!$W3&amp;"""/&gt;&lt;/response&gt;")&amp;"&lt;/method&gt;"</f>
        <v>&lt;method id="GETSelfDevice" name="GET" wx:mode="M"&gt;&lt;response&gt;&lt;representation mediaType="application/sep+xml" element="sep:SelfDevice"/&gt;&lt;representation mediaType="application/sep-exi" element="sep:SelfDevice"/&gt;&lt;/response&gt;&lt;/method&gt;</v>
      </c>
      <c r="C3" s="1" t="str">
        <f>"&lt;method id=""HEAD"&amp;Controls!$B3&amp;""" name=""HEAD"" wx:mode="""&amp;Controls!D3&amp;"""/&gt;"</f>
        <v>&lt;method id="HEADSelfDevice" name="HEAD" wx:mode="M"/&gt;</v>
      </c>
      <c r="D3" s="1" t="str">
        <f>"&lt;method id="""&amp;Controls!E$1&amp;Controls!$B3&amp;""" name="""&amp;Controls!E$1&amp;""" wx:mode="""&amp;Controls!E3&amp;"""&gt;&lt;request&gt;&lt;representation mediaType="""&amp;Var!$B$18&amp;""" element=""sep:"&amp;Controls!$V3&amp;"""/&gt;&lt;representation mediaType="""&amp;Var!$B$19&amp;""" element=""sep:"&amp;Controls!$V3&amp;"""/&gt;&lt;/request&gt;"&amp;IF(Controls!E3="E","&lt;response status=""400""/&gt;&lt;response status=""405""/&gt;","")&amp;"&lt;/method&gt;"</f>
        <v>&lt;method id="PUTSelfDevice" name="PUT" wx:mode="D"&gt;&lt;request&gt;&lt;representation mediaType="application/sep+xml" element="sep:SelfDevice"/&gt;&lt;representation mediaType="application/sep-exi" element="sep:SelfDevice"/&gt;&lt;/request&gt;&lt;/method&gt;</v>
      </c>
      <c r="E3" s="1" t="str">
        <f>"&lt;method id="""&amp;Controls!F$1&amp;Controls!$B3&amp;""" name="""&amp;Controls!F$1&amp;""" wx:mode="""&amp;Controls!F3&amp;"""&gt;"&amp;IF(Controls!B3="MirrorUsagePoint",Var!$B$21,"&lt;request&gt;&lt;representation mediaType="""&amp;Var!$B$18&amp;""" element=""sep:"&amp;Controls!$V3&amp;"""/&gt;&lt;representation mediaType="""&amp;Var!$B$19&amp;""" element=""sep:"&amp;Controls!$V3&amp;"""/&gt;&lt;/request&gt;")&amp;IF(Controls!F3="E","&lt;response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id="POSTSelfDevice" name="POST" wx:mode="E"&gt;&lt;request&gt;&lt;representation mediaType="application/sep+xml" element="sep:SelfDevice"/&gt;&lt;representation mediaType="application/sep-exi" element="sep:SelfDevice"/&gt;&lt;/request&gt;&lt;response status="400"/&gt;&lt;response status="405"/&gt;&lt;/method&gt;</v>
      </c>
      <c r="F3" s="1" t="str">
        <f>"&lt;method id="""&amp;Controls!G$1&amp;Controls!$B3&amp;""" name="""&amp;Controls!G$1&amp;""" wx:mode="""&amp;Controls!G3&amp;"""&gt;"&amp;IF(Controls!G3="E","&lt;response status=""400""/&gt;&lt;response status=""405""/&gt;","&lt;response&gt;&lt;representation mediaType=""application/xml"" element=""sep:"&amp;Controls!$V3&amp;"""/&gt;&lt;/response&gt;")&amp;"&lt;/method&gt;"</f>
        <v>&lt;method id="DELETESelfDevice" name="DELETE" wx:mode="E"&gt;&lt;response status="400"/&gt;&lt;response status="405"/&gt;&lt;/method&gt;</v>
      </c>
      <c r="G3" s="1" t="str">
        <f ca="1">IF(ISBLANK(Controls!B3),"",OFFSET(Var!B$11,Controls!O3,0)&amp;"&lt;/resource&gt;")</f>
        <v>&lt;/resource&gt;</v>
      </c>
      <c r="I3" s="6" t="str">
        <f>IF(Controls!K3,"&lt;request&gt;&lt;param name=""s"" style=""query"" type=""xsd:int""&gt;&lt;doc&gt;start&lt;/doc&gt;&lt;/param&gt;"&amp;IF(Controls!L3,"&lt;param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" spans="1:9" ht="51" customHeight="1">
      <c r="A4" s="1" t="str">
        <f>"&lt;resource id="""&amp;Controls!B4&amp;""" "&amp;IF(0,"path=""{"&amp;Controls!B4&amp;"Path}""","")&amp;" wx:samplePath="""&amp;Controls!C4&amp;"""&gt;&lt;doc title="""&amp;Controls!$B4&amp;"""&gt;"&amp;Controls!P4&amp;"&lt;/doc&gt;"</f>
        <v>&lt;resource id="EndDeviceList"  wx:samplePath="/edev"&gt;&lt;doc title="EndDeviceList"&gt;End device resource list. &lt;/doc&gt;</v>
      </c>
      <c r="B4" s="1" t="str">
        <f>"&lt;method id="""&amp;Controls!D$1&amp;Controls!$B4&amp;""" name="""&amp;Controls!D$1&amp;""" wx:mode="""&amp;Controls!D4&amp;"""&gt;"&amp;IF(Controls!D4="E","&lt;response status=""400""/&gt;&lt;response status=""405""/&gt;",I4&amp;"&lt;response&gt;&lt;representation mediaType="""&amp;Var!$B$18&amp;""" element=""sep:"&amp;Controls!$W4&amp;"""/&gt;&lt;representation mediaType="""&amp;Var!$B$19&amp;""" element=""sep:"&amp;Controls!$W4&amp;"""/&gt;&lt;/response&gt;")&amp;"&lt;/method&gt;"</f>
        <v>&lt;method id="GETEndDeviceList"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element="sep:EndDeviceList"/&gt;&lt;representation mediaType="application/sep-exi" element="sep:EndDeviceList"/&gt;&lt;/response&gt;&lt;/method&gt;</v>
      </c>
      <c r="C4" s="1" t="str">
        <f>"&lt;method id=""HEAD"&amp;Controls!$B4&amp;""" name=""HEAD"" wx:mode="""&amp;Controls!D4&amp;"""/&gt;"</f>
        <v>&lt;method id="HEADEndDeviceList" name="HEAD" wx:mode="M"/&gt;</v>
      </c>
      <c r="D4" s="1" t="str">
        <f>"&lt;method id="""&amp;Controls!E$1&amp;Controls!$B4&amp;""" name="""&amp;Controls!E$1&amp;""" wx:mode="""&amp;Controls!E4&amp;"""&gt;&lt;request&gt;&lt;representation mediaType="""&amp;Var!$B$18&amp;""" element=""sep:"&amp;Controls!$V4&amp;"""/&gt;&lt;representation mediaType="""&amp;Var!$B$19&amp;""" element=""sep:"&amp;Controls!$V4&amp;"""/&gt;&lt;/request&gt;"&amp;IF(Controls!E4="E","&lt;response status=""400""/&gt;&lt;response status=""405""/&gt;","")&amp;"&lt;/method&gt;"</f>
        <v>&lt;method id="PUTEndDeviceList" name="PUT" wx:mode="E"&gt;&lt;request&gt;&lt;representation mediaType="application/sep+xml" element="sep:EndDevice"/&gt;&lt;representation mediaType="application/sep-exi" element="sep:EndDevice"/&gt;&lt;/request&gt;&lt;response status="400"/&gt;&lt;response status="405"/&gt;&lt;/method&gt;</v>
      </c>
      <c r="E4" s="1" t="str">
        <f>"&lt;method id="""&amp;Controls!F$1&amp;Controls!$B4&amp;""" name="""&amp;Controls!F$1&amp;""" wx:mode="""&amp;Controls!F4&amp;"""&gt;"&amp;IF(Controls!B4="MirrorUsagePoint",Var!$B$21,"&lt;request&gt;&lt;representation mediaType="""&amp;Var!$B$18&amp;""" element=""sep:"&amp;Controls!$V4&amp;"""/&gt;&lt;representation mediaType="""&amp;Var!$B$19&amp;""" element=""sep:"&amp;Controls!$V4&amp;"""/&gt;&lt;/request&gt;")&amp;IF(Controls!F4="E","&lt;response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id="POSTEndDeviceList" name="POST" wx:mode="O"&gt;&lt;request&gt;&lt;representation mediaType="application/sep+xml" element="sep:EndDevice"/&gt;&lt;representation mediaType="application/sep-exi" element="sep:EndDevice"/&gt;&lt;/request&gt;&lt;response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4" s="1" t="str">
        <f>"&lt;method id="""&amp;Controls!G$1&amp;Controls!$B4&amp;""" name="""&amp;Controls!G$1&amp;""" wx:mode="""&amp;Controls!G4&amp;"""&gt;"&amp;IF(Controls!G4="E","&lt;response status=""400""/&gt;&lt;response status=""405""/&gt;","&lt;response&gt;&lt;representation mediaType=""application/xml"" element=""sep:"&amp;Controls!$V4&amp;"""/&gt;&lt;/response&gt;")&amp;"&lt;/method&gt;"</f>
        <v>&lt;method id="DELETEEndDeviceList" name="DELETE" wx:mode="E"&gt;&lt;response status="400"/&gt;&lt;response status="405"/&gt;&lt;/method&gt;</v>
      </c>
      <c r="G4" s="1" t="str">
        <f ca="1">IF(ISBLANK(Controls!B4),"",OFFSET(Var!B$11,Controls!O4,0)&amp;"&lt;/resource&gt;")</f>
        <v>&lt;/resource&gt;</v>
      </c>
      <c r="I4" s="6" t="str">
        <f>IF(Controls!K4,"&lt;request&gt;&lt;param name=""s"" style=""query"" type=""xsd:int""&gt;&lt;doc&gt;start&lt;/doc&gt;&lt;/param&gt;"&amp;IF(Controls!L4,"&lt;param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5" spans="1:9" ht="49.5" customHeight="1">
      <c r="A5" s="1" t="str">
        <f>"&lt;resource id="""&amp;Controls!B5&amp;""" "&amp;IF(0,"path=""{"&amp;Controls!B5&amp;"Path}""","")&amp;" wx:samplePath="""&amp;Controls!C5&amp;"""&gt;&lt;doc title="""&amp;Controls!$B5&amp;"""&gt;"&amp;Controls!P5&amp;"&lt;/doc&gt;"</f>
        <v>&lt;resource id="EndDevice"  wx:samplePath="/edev/{id1}"&gt;&lt;doc title="EndDevice"&gt;End device instance.&lt;/doc&gt;</v>
      </c>
      <c r="B5" s="1" t="str">
        <f>"&lt;method id="""&amp;Controls!D$1&amp;Controls!$B5&amp;""" name="""&amp;Controls!D$1&amp;""" wx:mode="""&amp;Controls!D5&amp;"""&gt;"&amp;IF(Controls!D5="E","&lt;response status=""400""/&gt;&lt;response status=""405""/&gt;",I5&amp;"&lt;response&gt;&lt;representation mediaType="""&amp;Var!$B$18&amp;""" element=""sep:"&amp;Controls!$W5&amp;"""/&gt;&lt;representation mediaType="""&amp;Var!$B$19&amp;""" element=""sep:"&amp;Controls!$W5&amp;"""/&gt;&lt;/response&gt;")&amp;"&lt;/method&gt;"</f>
        <v>&lt;method id="GETEndDevice" name="GET" wx:mode="M"&gt;&lt;response&gt;&lt;representation mediaType="application/sep+xml" element="sep:EndDevice"/&gt;&lt;representation mediaType="application/sep-exi" element="sep:EndDevice"/&gt;&lt;/response&gt;&lt;/method&gt;</v>
      </c>
      <c r="C5" s="1" t="str">
        <f>"&lt;method id=""HEAD"&amp;Controls!$B5&amp;""" name=""HEAD"" wx:mode="""&amp;Controls!D5&amp;"""/&gt;"</f>
        <v>&lt;method id="HEADEndDevice" name="HEAD" wx:mode="M"/&gt;</v>
      </c>
      <c r="D5" s="1" t="str">
        <f>"&lt;method id="""&amp;Controls!E$1&amp;Controls!$B5&amp;""" name="""&amp;Controls!E$1&amp;""" wx:mode="""&amp;Controls!E5&amp;"""&gt;&lt;request&gt;&lt;representation mediaType="""&amp;Var!$B$18&amp;""" element=""sep:"&amp;Controls!$V5&amp;"""/&gt;&lt;representation mediaType="""&amp;Var!$B$19&amp;""" element=""sep:"&amp;Controls!$V5&amp;"""/&gt;&lt;/request&gt;"&amp;IF(Controls!E5="E","&lt;response status=""400""/&gt;&lt;response status=""405""/&gt;","")&amp;"&lt;/method&gt;"</f>
        <v>&lt;method id="PUTEndDevice" name="PUT" wx:mode="O"&gt;&lt;request&gt;&lt;representation mediaType="application/sep+xml" element="sep:EndDevice"/&gt;&lt;representation mediaType="application/sep-exi" element="sep:EndDevice"/&gt;&lt;/request&gt;&lt;/method&gt;</v>
      </c>
      <c r="E5" s="1" t="str">
        <f>"&lt;method id="""&amp;Controls!F$1&amp;Controls!$B5&amp;""" name="""&amp;Controls!F$1&amp;""" wx:mode="""&amp;Controls!F5&amp;"""&gt;"&amp;IF(Controls!B5="MirrorUsagePoint",Var!$B$21,"&lt;request&gt;&lt;representation mediaType="""&amp;Var!$B$18&amp;""" element=""sep:"&amp;Controls!$V5&amp;"""/&gt;&lt;representation mediaType="""&amp;Var!$B$19&amp;""" element=""sep:"&amp;Controls!$V5&amp;"""/&gt;&lt;/request&gt;")&amp;IF(Controls!F5="E","&lt;response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id="POSTEndDevice" name="POST" wx:mode="E"&gt;&lt;request&gt;&lt;representation mediaType="application/sep+xml" element="sep:EndDevice"/&gt;&lt;representation mediaType="application/sep-exi" element="sep:EndDevice"/&gt;&lt;/request&gt;&lt;response status="400"/&gt;&lt;response status="405"/&gt;&lt;/method&gt;</v>
      </c>
      <c r="F5" s="1" t="str">
        <f>"&lt;method id="""&amp;Controls!G$1&amp;Controls!$B5&amp;""" name="""&amp;Controls!G$1&amp;""" wx:mode="""&amp;Controls!G5&amp;"""&gt;"&amp;IF(Controls!G5="E","&lt;response status=""400""/&gt;&lt;response status=""405""/&gt;","&lt;response&gt;&lt;representation mediaType=""application/xml"" element=""sep:"&amp;Controls!$V5&amp;"""/&gt;&lt;/response&gt;")&amp;"&lt;/method&gt;"</f>
        <v>&lt;method id="DELETEEndDevice" name="DELETE" wx:mode="O"&gt;&lt;response&gt;&lt;representation mediaType="application/xml" element="sep:EndDevice"/&gt;&lt;/response&gt;&lt;/method&gt;</v>
      </c>
      <c r="G5" s="1" t="str">
        <f ca="1">IF(ISBLANK(Controls!B5),"",OFFSET(Var!B$11,Controls!O5,0)&amp;"&lt;/resource&gt;")</f>
        <v>&lt;wx:sampleParam name="id1" style="template" type="idType"/&gt;&lt;/resource&gt;</v>
      </c>
      <c r="I5" s="6" t="str">
        <f>IF(Controls!K5,"&lt;request&gt;&lt;param name=""s"" style=""query"" type=""xsd:int""&gt;&lt;doc&gt;start&lt;/doc&gt;&lt;/param&gt;"&amp;IF(Controls!L5,"&lt;param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6" spans="1:9" ht="49.5" customHeight="1">
      <c r="A6" s="1" t="str">
        <f>"&lt;resource id="""&amp;Controls!B6&amp;""" "&amp;IF(0,"path=""{"&amp;Controls!B6&amp;"Path}""","")&amp;" wx:samplePath="""&amp;Controls!C6&amp;"""&gt;&lt;doc title="""&amp;Controls!$B6&amp;"""&gt;"&amp;Controls!P6&amp;"&lt;/doc&gt;"</f>
        <v>&lt;resource id="Registration"  wx:samplePath="/edev/{id1}/rg"&gt;&lt;doc title="Registration"&gt;Contains registrations related to the indicated device. &lt;/doc&gt;</v>
      </c>
      <c r="B6" s="1" t="str">
        <f>"&lt;method id="""&amp;Controls!D$1&amp;Controls!$B6&amp;""" name="""&amp;Controls!D$1&amp;""" wx:mode="""&amp;Controls!D6&amp;"""&gt;"&amp;IF(Controls!D6="E","&lt;response status=""400""/&gt;&lt;response status=""405""/&gt;",I6&amp;"&lt;response&gt;&lt;representation mediaType="""&amp;Var!$B$18&amp;""" element=""sep:"&amp;Controls!$W6&amp;"""/&gt;&lt;representation mediaType="""&amp;Var!$B$19&amp;""" element=""sep:"&amp;Controls!$W6&amp;"""/&gt;&lt;/response&gt;")&amp;"&lt;/method&gt;"</f>
        <v>&lt;method id="GETRegistration" name="GET" wx:mode="M"&gt;&lt;response&gt;&lt;representation mediaType="application/sep+xml" element="sep:Registration"/&gt;&lt;representation mediaType="application/sep-exi" element="sep:Registration"/&gt;&lt;/response&gt;&lt;/method&gt;</v>
      </c>
      <c r="C6" s="1" t="str">
        <f>"&lt;method id=""HEAD"&amp;Controls!$B6&amp;""" name=""HEAD"" wx:mode="""&amp;Controls!D6&amp;"""/&gt;"</f>
        <v>&lt;method id="HEADRegistration" name="HEAD" wx:mode="M"/&gt;</v>
      </c>
      <c r="D6" s="1" t="str">
        <f>"&lt;method id="""&amp;Controls!E$1&amp;Controls!$B6&amp;""" name="""&amp;Controls!E$1&amp;""" wx:mode="""&amp;Controls!E6&amp;"""&gt;&lt;request&gt;&lt;representation mediaType="""&amp;Var!$B$18&amp;""" element=""sep:"&amp;Controls!$V6&amp;"""/&gt;&lt;representation mediaType="""&amp;Var!$B$19&amp;""" element=""sep:"&amp;Controls!$V6&amp;"""/&gt;&lt;/request&gt;"&amp;IF(Controls!E6="E","&lt;response status=""400""/&gt;&lt;response status=""405""/&gt;","")&amp;"&lt;/method&gt;"</f>
        <v>&lt;method id="PUTRegistration" name="PUT" wx:mode="O"&gt;&lt;request&gt;&lt;representation mediaType="application/sep+xml" element="sep:Registration"/&gt;&lt;representation mediaType="application/sep-exi" element="sep:Registration"/&gt;&lt;/request&gt;&lt;/method&gt;</v>
      </c>
      <c r="E6" s="1" t="str">
        <f>"&lt;method id="""&amp;Controls!F$1&amp;Controls!$B6&amp;""" name="""&amp;Controls!F$1&amp;""" wx:mode="""&amp;Controls!F6&amp;"""&gt;"&amp;IF(Controls!B6="MirrorUsagePoint",Var!$B$21,"&lt;request&gt;&lt;representation mediaType="""&amp;Var!$B$18&amp;""" element=""sep:"&amp;Controls!$V6&amp;"""/&gt;&lt;representation mediaType="""&amp;Var!$B$19&amp;""" element=""sep:"&amp;Controls!$V6&amp;"""/&gt;&lt;/request&gt;")&amp;IF(Controls!F6="E","&lt;response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id="POSTRegistration" name="POST" wx:mode="E"&gt;&lt;request&gt;&lt;representation mediaType="application/sep+xml" element="sep:Registration"/&gt;&lt;representation mediaType="application/sep-exi" element="sep:Registration"/&gt;&lt;/request&gt;&lt;response status="400"/&gt;&lt;response status="405"/&gt;&lt;/method&gt;</v>
      </c>
      <c r="F6" s="1" t="str">
        <f>"&lt;method id="""&amp;Controls!G$1&amp;Controls!$B6&amp;""" name="""&amp;Controls!G$1&amp;""" wx:mode="""&amp;Controls!G6&amp;"""&gt;"&amp;IF(Controls!G6="E","&lt;response status=""400""/&gt;&lt;response status=""405""/&gt;","&lt;response&gt;&lt;representation mediaType=""application/xml"" element=""sep:"&amp;Controls!$V6&amp;"""/&gt;&lt;/response&gt;")&amp;"&lt;/method&gt;"</f>
        <v>&lt;method id="DELETERegistration" name="DELETE" wx:mode="O"&gt;&lt;response&gt;&lt;representation mediaType="application/xml" element="sep:Registration"/&gt;&lt;/response&gt;&lt;/method&gt;</v>
      </c>
      <c r="G6" s="1" t="str">
        <f ca="1">IF(ISBLANK(Controls!B6),"",OFFSET(Var!B$11,Controls!O6,0)&amp;"&lt;/resource&gt;")</f>
        <v>&lt;wx:sampleParam name="id1" style="template" type="idType"/&gt;&lt;/resource&gt;</v>
      </c>
      <c r="I6" s="6" t="str">
        <f>IF(Controls!K6,"&lt;request&gt;&lt;param name=""s"" style=""query"" type=""xsd:int""&gt;&lt;doc&gt;start&lt;/doc&gt;&lt;/param&gt;"&amp;IF(Controls!L6,"&lt;param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7" spans="1:9" ht="49.5" customHeight="1">
      <c r="A7" s="1" t="str">
        <f>"&lt;resource id="""&amp;Controls!B7&amp;""" "&amp;IF(0,"path=""{"&amp;Controls!B7&amp;"Path}""","")&amp;" wx:samplePath="""&amp;Controls!C7&amp;"""&gt;&lt;doc title="""&amp;Controls!$B7&amp;"""&gt;"&amp;Controls!P7&amp;"&lt;/doc&gt;"</f>
        <v>&lt;resource id="DeviceStatus"  wx:samplePath="/edev/{id1}/dstat"&gt;&lt;doc title="DeviceStatus"&gt;Contains the current operational state of the associated EndDevice or SelfDevice.&lt;/doc&gt;</v>
      </c>
      <c r="B7" s="1" t="str">
        <f>"&lt;method id="""&amp;Controls!D$1&amp;Controls!$B7&amp;""" name="""&amp;Controls!D$1&amp;""" wx:mode="""&amp;Controls!D7&amp;"""&gt;"&amp;IF(Controls!D7="E","&lt;response status=""400""/&gt;&lt;response status=""405""/&gt;",I7&amp;"&lt;response&gt;&lt;representation mediaType="""&amp;Var!$B$18&amp;""" element=""sep:"&amp;Controls!$W7&amp;"""/&gt;&lt;representation mediaType="""&amp;Var!$B$19&amp;""" element=""sep:"&amp;Controls!$W7&amp;"""/&gt;&lt;/response&gt;")&amp;"&lt;/method&gt;"</f>
        <v>&lt;method id="GETDeviceStatus" name="GET" wx:mode="M"&gt;&lt;response&gt;&lt;representation mediaType="application/sep+xml" element="sep:DeviceStatus"/&gt;&lt;representation mediaType="application/sep-exi" element="sep:DeviceStatus"/&gt;&lt;/response&gt;&lt;/method&gt;</v>
      </c>
      <c r="C7" s="1" t="str">
        <f>"&lt;method id=""HEAD"&amp;Controls!$B7&amp;""" name=""HEAD"" wx:mode="""&amp;Controls!D7&amp;"""/&gt;"</f>
        <v>&lt;method id="HEADDeviceStatus" name="HEAD" wx:mode="M"/&gt;</v>
      </c>
      <c r="D7" s="1" t="str">
        <f>"&lt;method id="""&amp;Controls!E$1&amp;Controls!$B7&amp;""" name="""&amp;Controls!E$1&amp;""" wx:mode="""&amp;Controls!E7&amp;"""&gt;&lt;request&gt;&lt;representation mediaType="""&amp;Var!$B$18&amp;""" element=""sep:"&amp;Controls!$V7&amp;"""/&gt;&lt;representation mediaType="""&amp;Var!$B$19&amp;""" element=""sep:"&amp;Controls!$V7&amp;"""/&gt;&lt;/request&gt;"&amp;IF(Controls!E7="E","&lt;response status=""400""/&gt;&lt;response status=""405""/&gt;","")&amp;"&lt;/method&gt;"</f>
        <v>&lt;method id="PUTDeviceStatus" name="PUT" wx:mode="M"&gt;&lt;request&gt;&lt;representation mediaType="application/sep+xml" element="sep:DeviceStatus"/&gt;&lt;representation mediaType="application/sep-exi" element="sep:DeviceStatus"/&gt;&lt;/request&gt;&lt;/method&gt;</v>
      </c>
      <c r="E7" s="1" t="str">
        <f>"&lt;method id="""&amp;Controls!F$1&amp;Controls!$B7&amp;""" name="""&amp;Controls!F$1&amp;""" wx:mode="""&amp;Controls!F7&amp;"""&gt;"&amp;IF(Controls!B7="MirrorUsagePoint",Var!$B$21,"&lt;request&gt;&lt;representation mediaType="""&amp;Var!$B$18&amp;""" element=""sep:"&amp;Controls!$V7&amp;"""/&gt;&lt;representation mediaType="""&amp;Var!$B$19&amp;""" element=""sep:"&amp;Controls!$V7&amp;"""/&gt;&lt;/request&gt;")&amp;IF(Controls!F7="E","&lt;response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id="POSTDeviceStatus" name="POST" wx:mode="E"&gt;&lt;request&gt;&lt;representation mediaType="application/sep+xml" element="sep:DeviceStatus"/&gt;&lt;representation mediaType="application/sep-exi" element="sep:DeviceStatus"/&gt;&lt;/request&gt;&lt;response status="400"/&gt;&lt;response status="405"/&gt;&lt;/method&gt;</v>
      </c>
      <c r="F7" s="1" t="str">
        <f>"&lt;method id="""&amp;Controls!G$1&amp;Controls!$B7&amp;""" name="""&amp;Controls!G$1&amp;""" wx:mode="""&amp;Controls!G7&amp;"""&gt;"&amp;IF(Controls!G7="E","&lt;response status=""400""/&gt;&lt;response status=""405""/&gt;","&lt;response&gt;&lt;representation mediaType=""application/xml"" element=""sep:"&amp;Controls!$V7&amp;"""/&gt;&lt;/response&gt;")&amp;"&lt;/method&gt;"</f>
        <v>&lt;method id="DELETEDeviceStatus" name="DELETE" wx:mode="O"&gt;&lt;response&gt;&lt;representation mediaType="application/xml" element="sep:DeviceStatus"/&gt;&lt;/response&gt;&lt;/method&gt;</v>
      </c>
      <c r="G7" s="1" t="str">
        <f ca="1">IF(ISBLANK(Controls!B7),"",OFFSET(Var!B$11,Controls!O7,0)&amp;"&lt;/resource&gt;")</f>
        <v>&lt;wx:sampleParam name="id1" style="template" type="idType"/&gt;&lt;/resource&gt;</v>
      </c>
      <c r="I7" s="6" t="str">
        <f>IF(Controls!K7,"&lt;request&gt;&lt;param name=""s"" style=""query"" type=""xsd:int""&gt;&lt;doc&gt;start&lt;/doc&gt;&lt;/param&gt;"&amp;IF(Controls!L7,"&lt;param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8" spans="1:9" ht="49.5" customHeight="1">
      <c r="A8" s="1" t="str">
        <f>"&lt;resource id="""&amp;Controls!B8&amp;""" "&amp;IF(0,"path=""{"&amp;Controls!B8&amp;"Path}""","")&amp;" wx:samplePath="""&amp;Controls!C8&amp;"""&gt;&lt;doc title="""&amp;Controls!$B8&amp;"""&gt;"&amp;Controls!P8&amp;"&lt;/doc&gt;"</f>
        <v>&lt;resource id="FunctionSetAssignmentsList"  wx:samplePath="/edev/{id1}/fsa"&gt;&lt;doc title="FunctionSetAssignmentsList"&gt;Contains function set assignments present on the server and/or related to the indicated device. &lt;/doc&gt;</v>
      </c>
      <c r="B8" s="1" t="str">
        <f>"&lt;method id="""&amp;Controls!D$1&amp;Controls!$B8&amp;""" name="""&amp;Controls!D$1&amp;""" wx:mode="""&amp;Controls!D8&amp;"""&gt;"&amp;IF(Controls!D8="E","&lt;response status=""400""/&gt;&lt;response status=""405""/&gt;",I8&amp;"&lt;response&gt;&lt;representation mediaType="""&amp;Var!$B$18&amp;""" element=""sep:"&amp;Controls!$W8&amp;"""/&gt;&lt;representation mediaType="""&amp;Var!$B$19&amp;""" element=""sep:"&amp;Controls!$W8&amp;"""/&gt;&lt;/response&gt;")&amp;"&lt;/method&gt;"</f>
        <v>&lt;method id="GETFunctionSetAssignmentsList"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element="sep:FunctionSetAssignmentsList"/&gt;&lt;representation mediaType="application/sep-exi" element="sep:FunctionSetAssignmentsList"/&gt;&lt;/response&gt;&lt;/method&gt;</v>
      </c>
      <c r="C8" s="1" t="str">
        <f>"&lt;method id=""HEAD"&amp;Controls!$B8&amp;""" name=""HEAD"" wx:mode="""&amp;Controls!D8&amp;"""/&gt;"</f>
        <v>&lt;method id="HEADFunctionSetAssignmentsList" name="HEAD" wx:mode="M"/&gt;</v>
      </c>
      <c r="D8" s="1" t="str">
        <f>"&lt;method id="""&amp;Controls!E$1&amp;Controls!$B8&amp;""" name="""&amp;Controls!E$1&amp;""" wx:mode="""&amp;Controls!E8&amp;"""&gt;&lt;request&gt;&lt;representation mediaType="""&amp;Var!$B$18&amp;""" element=""sep:"&amp;Controls!$V8&amp;"""/&gt;&lt;representation mediaType="""&amp;Var!$B$19&amp;""" element=""sep:"&amp;Controls!$V8&amp;"""/&gt;&lt;/request&gt;"&amp;IF(Controls!E8="E","&lt;response status=""400""/&gt;&lt;response status=""405""/&gt;","")&amp;"&lt;/method&gt;"</f>
        <v>&lt;method id="PUTFunctionSetAssignmentsList" name="PUT" wx:mode="E"&gt;&lt;request&gt;&lt;representation mediaType="application/sep+xml" element="sep:FunctionSetAssignments"/&gt;&lt;representation mediaType="application/sep-exi" element="sep:FunctionSetAssignments"/&gt;&lt;/request&gt;&lt;response status="400"/&gt;&lt;response status="405"/&gt;&lt;/method&gt;</v>
      </c>
      <c r="E8" s="1" t="str">
        <f>"&lt;method id="""&amp;Controls!F$1&amp;Controls!$B8&amp;""" name="""&amp;Controls!F$1&amp;""" wx:mode="""&amp;Controls!F8&amp;"""&gt;"&amp;IF(Controls!B8="MirrorUsagePoint",Var!$B$21,"&lt;request&gt;&lt;representation mediaType="""&amp;Var!$B$18&amp;""" element=""sep:"&amp;Controls!$V8&amp;"""/&gt;&lt;representation mediaType="""&amp;Var!$B$19&amp;""" element=""sep:"&amp;Controls!$V8&amp;"""/&gt;&lt;/request&gt;")&amp;IF(Controls!F8="E","&lt;response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id="POSTFunctionSetAssignmentsList" name="POST" wx:mode="D"&gt;&lt;request&gt;&lt;representation mediaType="application/sep+xml" element="sep:FunctionSetAssignments"/&gt;&lt;representation mediaType="application/sep-exi" element="sep:FunctionSetAssignments"/&gt;&lt;/request&gt;&lt;response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8" s="1" t="str">
        <f>"&lt;method id="""&amp;Controls!G$1&amp;Controls!$B8&amp;""" name="""&amp;Controls!G$1&amp;""" wx:mode="""&amp;Controls!G8&amp;"""&gt;"&amp;IF(Controls!G8="E","&lt;response status=""400""/&gt;&lt;response status=""405""/&gt;","&lt;response&gt;&lt;representation mediaType=""application/xml"" element=""sep:"&amp;Controls!$V8&amp;"""/&gt;&lt;/response&gt;")&amp;"&lt;/method&gt;"</f>
        <v>&lt;method id="DELETEFunctionSetAssignmentsList" name="DELETE" wx:mode="E"&gt;&lt;response status="400"/&gt;&lt;response status="405"/&gt;&lt;/method&gt;</v>
      </c>
      <c r="G8" s="1" t="str">
        <f ca="1">IF(ISBLANK(Controls!B8),"",OFFSET(Var!B$11,Controls!O8,0)&amp;"&lt;/resource&gt;")</f>
        <v>&lt;wx:sampleParam name="id1" style="template" type="idType"/&gt;&lt;/resource&gt;</v>
      </c>
      <c r="I8" s="6" t="str">
        <f>IF(Controls!K8,"&lt;request&gt;&lt;param name=""s"" style=""query"" type=""xsd:int""&gt;&lt;doc&gt;start&lt;/doc&gt;&lt;/param&gt;"&amp;IF(Controls!L8,"&lt;param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9" spans="1:9" ht="49.5" customHeight="1">
      <c r="A9" s="1" t="str">
        <f>"&lt;resource id="""&amp;Controls!B9&amp;""" "&amp;IF(0,"path=""{"&amp;Controls!B9&amp;"Path}""","")&amp;" wx:samplePath="""&amp;Controls!C9&amp;"""&gt;&lt;doc title="""&amp;Controls!$B9&amp;"""&gt;"&amp;Controls!P9&amp;"&lt;/doc&gt;"</f>
        <v>&lt;resource id="FunctionSetAssignments"  wx:samplePath="/edev/{id1}/fsa/{id2}"&gt;&lt;doc title="FunctionSetAssignments"&gt;Contains links to the specific function set assignments.&lt;/doc&gt;</v>
      </c>
      <c r="B9" s="1" t="str">
        <f>"&lt;method id="""&amp;Controls!D$1&amp;Controls!$B9&amp;""" name="""&amp;Controls!D$1&amp;""" wx:mode="""&amp;Controls!D9&amp;"""&gt;"&amp;IF(Controls!D9="E","&lt;response status=""400""/&gt;&lt;response status=""405""/&gt;",I9&amp;"&lt;response&gt;&lt;representation mediaType="""&amp;Var!$B$18&amp;""" element=""sep:"&amp;Controls!$W9&amp;"""/&gt;&lt;representation mediaType="""&amp;Var!$B$19&amp;""" element=""sep:"&amp;Controls!$W9&amp;"""/&gt;&lt;/response&gt;")&amp;"&lt;/method&gt;"</f>
        <v>&lt;method id="GETFunctionSetAssignments" name="GET" wx:mode="M"&gt;&lt;response&gt;&lt;representation mediaType="application/sep+xml" element="sep:FunctionSetAssignments"/&gt;&lt;representation mediaType="application/sep-exi" element="sep:FunctionSetAssignments"/&gt;&lt;/response&gt;&lt;/method&gt;</v>
      </c>
      <c r="C9" s="1" t="str">
        <f>"&lt;method id=""HEAD"&amp;Controls!$B9&amp;""" name=""HEAD"" wx:mode="""&amp;Controls!D9&amp;"""/&gt;"</f>
        <v>&lt;method id="HEADFunctionSetAssignments" name="HEAD" wx:mode="M"/&gt;</v>
      </c>
      <c r="D9" s="1" t="str">
        <f>"&lt;method id="""&amp;Controls!E$1&amp;Controls!$B9&amp;""" name="""&amp;Controls!E$1&amp;""" wx:mode="""&amp;Controls!E9&amp;"""&gt;&lt;request&gt;&lt;representation mediaType="""&amp;Var!$B$18&amp;""" element=""sep:"&amp;Controls!$V9&amp;"""/&gt;&lt;representation mediaType="""&amp;Var!$B$19&amp;""" element=""sep:"&amp;Controls!$V9&amp;"""/&gt;&lt;/request&gt;"&amp;IF(Controls!E9="E","&lt;response status=""400""/&gt;&lt;response status=""405""/&gt;","")&amp;"&lt;/method&gt;"</f>
        <v>&lt;method id="PUTFunctionSetAssignments" name="PUT" wx:mode="E"&gt;&lt;request&gt;&lt;representation mediaType="application/sep+xml" element="sep:FunctionSetAssignments"/&gt;&lt;representation mediaType="application/sep-exi" element="sep:FunctionSetAssignments"/&gt;&lt;/request&gt;&lt;response status="400"/&gt;&lt;response status="405"/&gt;&lt;/method&gt;</v>
      </c>
      <c r="E9" s="1" t="str">
        <f>"&lt;method id="""&amp;Controls!F$1&amp;Controls!$B9&amp;""" name="""&amp;Controls!F$1&amp;""" wx:mode="""&amp;Controls!F9&amp;"""&gt;"&amp;IF(Controls!B9="MirrorUsagePoint",Var!$B$21,"&lt;request&gt;&lt;representation mediaType="""&amp;Var!$B$18&amp;""" element=""sep:"&amp;Controls!$V9&amp;"""/&gt;&lt;representation mediaType="""&amp;Var!$B$19&amp;""" element=""sep:"&amp;Controls!$V9&amp;"""/&gt;&lt;/request&gt;")&amp;IF(Controls!F9="E","&lt;response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id="POSTFunctionSetAssignments" name="POST" wx:mode="E"&gt;&lt;request&gt;&lt;representation mediaType="application/sep+xml" element="sep:FunctionSetAssignments"/&gt;&lt;representation mediaType="application/sep-exi" element="sep:FunctionSetAssignments"/&gt;&lt;/request&gt;&lt;response status="400"/&gt;&lt;response status="405"/&gt;&lt;/method&gt;</v>
      </c>
      <c r="F9" s="1" t="str">
        <f>"&lt;method id="""&amp;Controls!G$1&amp;Controls!$B9&amp;""" name="""&amp;Controls!G$1&amp;""" wx:mode="""&amp;Controls!G9&amp;"""&gt;"&amp;IF(Controls!G9="E","&lt;response status=""400""/&gt;&lt;response status=""405""/&gt;","&lt;response&gt;&lt;representation mediaType=""application/xml"" element=""sep:"&amp;Controls!$V9&amp;"""/&gt;&lt;/response&gt;")&amp;"&lt;/method&gt;"</f>
        <v>&lt;method id="DELETEFunctionSetAssignments" name="DELETE" wx:mode="D"&gt;&lt;response&gt;&lt;representation mediaType="application/xml" element="sep:FunctionSetAssignments"/&gt;&lt;/response&gt;&lt;/method&gt;</v>
      </c>
      <c r="G9" s="1" t="str">
        <f ca="1">IF(ISBLANK(Controls!B9),"",OFFSET(Var!B$11,Controls!O9,0)&amp;"&lt;/resource&gt;")</f>
        <v>&lt;wx:sampleParam name="id1" style="template" type="idType"/&gt;&lt;wx:sampleParam name="id2" style="template" type="idType"/&gt;&lt;/resource&gt;</v>
      </c>
      <c r="I9" s="6" t="str">
        <f>IF(Controls!K9,"&lt;request&gt;&lt;param name=""s"" style=""query"" type=""xsd:int""&gt;&lt;doc&gt;start&lt;/doc&gt;&lt;/param&gt;"&amp;IF(Controls!L9,"&lt;param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" spans="1:9" ht="49.5" customHeight="1">
      <c r="A10" s="1" t="str">
        <f>"&lt;resource id="""&amp;Controls!B10&amp;""" "&amp;IF(0,"path=""{"&amp;Controls!B10&amp;"Path}""","")&amp;" wx:samplePath="""&amp;Controls!C10&amp;"""&gt;&lt;doc title="""&amp;Controls!$B10&amp;"""&gt;"&amp;Controls!P10&amp;"&lt;/doc&gt;"</f>
        <v>&lt;resource id="SubscriptionList"  wx:samplePath="/edev/{id1}/sub"&gt;&lt;doc title="SubscriptionList"&gt;Contains subscriptions related to the indicated device. Documented in Subscription / Notification Mechanism.&lt;/doc&gt;</v>
      </c>
      <c r="B10" s="1" t="str">
        <f>"&lt;method id="""&amp;Controls!D$1&amp;Controls!$B10&amp;""" name="""&amp;Controls!D$1&amp;""" wx:mode="""&amp;Controls!D10&amp;"""&gt;"&amp;IF(Controls!D10="E","&lt;response status=""400""/&gt;&lt;response status=""405""/&gt;",I10&amp;"&lt;response&gt;&lt;representation mediaType="""&amp;Var!$B$18&amp;""" element=""sep:"&amp;Controls!$W10&amp;"""/&gt;&lt;representation mediaType="""&amp;Var!$B$19&amp;""" element=""sep:"&amp;Controls!$W10&amp;"""/&gt;&lt;/response&gt;")&amp;"&lt;/method&gt;"</f>
        <v>&lt;method id="GETSubscriptionList"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element="sep:SubscriptionList"/&gt;&lt;representation mediaType="application/sep-exi" element="sep:SubscriptionList"/&gt;&lt;/response&gt;&lt;/method&gt;</v>
      </c>
      <c r="C10" s="1" t="str">
        <f>"&lt;method id=""HEAD"&amp;Controls!$B10&amp;""" name=""HEAD"" wx:mode="""&amp;Controls!D10&amp;"""/&gt;"</f>
        <v>&lt;method id="HEADSubscriptionList" name="HEAD" wx:mode="M"/&gt;</v>
      </c>
      <c r="D10" s="1" t="str">
        <f>"&lt;method id="""&amp;Controls!E$1&amp;Controls!$B10&amp;""" name="""&amp;Controls!E$1&amp;""" wx:mode="""&amp;Controls!E10&amp;"""&gt;&lt;request&gt;&lt;representation mediaType="""&amp;Var!$B$18&amp;""" element=""sep:"&amp;Controls!$V10&amp;"""/&gt;&lt;representation mediaType="""&amp;Var!$B$19&amp;""" element=""sep:"&amp;Controls!$V10&amp;"""/&gt;&lt;/request&gt;"&amp;IF(Controls!E10="E","&lt;response status=""400""/&gt;&lt;response status=""405""/&gt;","")&amp;"&lt;/method&gt;"</f>
        <v>&lt;method id="PUTSubscriptionList" name="PUT" wx:mode="E"&gt;&lt;request&gt;&lt;representation mediaType="application/sep+xml" element="sep:Subscription"/&gt;&lt;representation mediaType="application/sep-exi" element="sep:Subscription"/&gt;&lt;/request&gt;&lt;response status="400"/&gt;&lt;response status="405"/&gt;&lt;/method&gt;</v>
      </c>
      <c r="E10" s="1" t="str">
        <f>"&lt;method id="""&amp;Controls!F$1&amp;Controls!$B10&amp;""" name="""&amp;Controls!F$1&amp;""" wx:mode="""&amp;Controls!F10&amp;"""&gt;"&amp;IF(Controls!B10="MirrorUsagePoint",Var!$B$21,"&lt;request&gt;&lt;representation mediaType="""&amp;Var!$B$18&amp;""" element=""sep:"&amp;Controls!$V10&amp;"""/&gt;&lt;representation mediaType="""&amp;Var!$B$19&amp;""" element=""sep:"&amp;Controls!$V10&amp;"""/&gt;&lt;/request&gt;")&amp;IF(Controls!F10="E","&lt;response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id="POSTSubscriptionList" name="POST" wx:mode="M"&gt;&lt;request&gt;&lt;representation mediaType="application/sep+xml" element="sep:Subscription"/&gt;&lt;representation mediaType="application/sep-exi" element="sep:Subscription"/&gt;&lt;/request&gt;&lt;response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0" s="1" t="str">
        <f>"&lt;method id="""&amp;Controls!G$1&amp;Controls!$B10&amp;""" name="""&amp;Controls!G$1&amp;""" wx:mode="""&amp;Controls!G10&amp;"""&gt;"&amp;IF(Controls!G10="E","&lt;response status=""400""/&gt;&lt;response status=""405""/&gt;","&lt;response&gt;&lt;representation mediaType=""application/xml"" element=""sep:"&amp;Controls!$V10&amp;"""/&gt;&lt;/response&gt;")&amp;"&lt;/method&gt;"</f>
        <v>&lt;method id="DELETESubscriptionList" name="DELETE" wx:mode="E"&gt;&lt;response status="400"/&gt;&lt;response status="405"/&gt;&lt;/method&gt;</v>
      </c>
      <c r="G10" s="1" t="str">
        <f ca="1">IF(ISBLANK(Controls!B10),"",OFFSET(Var!B$11,Controls!O10,0)&amp;"&lt;/resource&gt;")</f>
        <v>&lt;wx:sampleParam name="id1" style="template" type="idType"/&gt;&lt;/resource&gt;</v>
      </c>
      <c r="I10" s="6" t="str">
        <f>IF(Controls!K10,"&lt;request&gt;&lt;param name=""s"" style=""query"" type=""xsd:int""&gt;&lt;doc&gt;start&lt;/doc&gt;&lt;/param&gt;"&amp;IF(Controls!L10,"&lt;param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1" spans="1:9" ht="49.5" customHeight="1">
      <c r="A11" s="1" t="str">
        <f>"&lt;resource id="""&amp;Controls!B11&amp;""" "&amp;IF(0,"path=""{"&amp;Controls!B11&amp;"Path}""","")&amp;" wx:samplePath="""&amp;Controls!C11&amp;"""&gt;&lt;doc title="""&amp;Controls!$B11&amp;"""&gt;"&amp;Controls!P11&amp;"&lt;/doc&gt;"</f>
        <v>&lt;resource id="Subscription"  wx:samplePath="/edev/{id1}/sub/{id2}"&gt;&lt;doc title="Subscription"&gt;A specific subscription&lt;/doc&gt;</v>
      </c>
      <c r="B11" s="1" t="str">
        <f>"&lt;method id="""&amp;Controls!D$1&amp;Controls!$B11&amp;""" name="""&amp;Controls!D$1&amp;""" wx:mode="""&amp;Controls!D11&amp;"""&gt;"&amp;IF(Controls!D11="E","&lt;response status=""400""/&gt;&lt;response status=""405""/&gt;",I11&amp;"&lt;response&gt;&lt;representation mediaType="""&amp;Var!$B$18&amp;""" element=""sep:"&amp;Controls!$W11&amp;"""/&gt;&lt;representation mediaType="""&amp;Var!$B$19&amp;""" element=""sep:"&amp;Controls!$W11&amp;"""/&gt;&lt;/response&gt;")&amp;"&lt;/method&gt;"</f>
        <v>&lt;method id="GETSubscription" name="GET" wx:mode="M"&gt;&lt;response&gt;&lt;representation mediaType="application/sep+xml" element="sep:Subscription"/&gt;&lt;representation mediaType="application/sep-exi" element="sep:Subscription"/&gt;&lt;/response&gt;&lt;/method&gt;</v>
      </c>
      <c r="C11" s="1" t="str">
        <f>"&lt;method id=""HEAD"&amp;Controls!$B11&amp;""" name=""HEAD"" wx:mode="""&amp;Controls!D11&amp;"""/&gt;"</f>
        <v>&lt;method id="HEADSubscription" name="HEAD" wx:mode="M"/&gt;</v>
      </c>
      <c r="D11" s="1" t="str">
        <f>"&lt;method id="""&amp;Controls!E$1&amp;Controls!$B11&amp;""" name="""&amp;Controls!E$1&amp;""" wx:mode="""&amp;Controls!E11&amp;"""&gt;&lt;request&gt;&lt;representation mediaType="""&amp;Var!$B$18&amp;""" element=""sep:"&amp;Controls!$V11&amp;"""/&gt;&lt;representation mediaType="""&amp;Var!$B$19&amp;""" element=""sep:"&amp;Controls!$V11&amp;"""/&gt;&lt;/request&gt;"&amp;IF(Controls!E11="E","&lt;response status=""400""/&gt;&lt;response status=""405""/&gt;","")&amp;"&lt;/method&gt;"</f>
        <v>&lt;method id="PUTSubscription" name="PUT" wx:mode="M"&gt;&lt;request&gt;&lt;representation mediaType="application/sep+xml" element="sep:Subscription"/&gt;&lt;representation mediaType="application/sep-exi" element="sep:Subscription"/&gt;&lt;/request&gt;&lt;/method&gt;</v>
      </c>
      <c r="E11" s="1" t="str">
        <f>"&lt;method id="""&amp;Controls!F$1&amp;Controls!$B11&amp;""" name="""&amp;Controls!F$1&amp;""" wx:mode="""&amp;Controls!F11&amp;"""&gt;"&amp;IF(Controls!B11="MirrorUsagePoint",Var!$B$21,"&lt;request&gt;&lt;representation mediaType="""&amp;Var!$B$18&amp;""" element=""sep:"&amp;Controls!$V11&amp;"""/&gt;&lt;representation mediaType="""&amp;Var!$B$19&amp;""" element=""sep:"&amp;Controls!$V11&amp;"""/&gt;&lt;/request&gt;")&amp;IF(Controls!F11="E","&lt;response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id="POSTSubscription" name="POST" wx:mode="E"&gt;&lt;request&gt;&lt;representation mediaType="application/sep+xml" element="sep:Subscription"/&gt;&lt;representation mediaType="application/sep-exi" element="sep:Subscription"/&gt;&lt;/request&gt;&lt;response status="400"/&gt;&lt;response status="405"/&gt;&lt;/method&gt;</v>
      </c>
      <c r="F11" s="1" t="str">
        <f>"&lt;method id="""&amp;Controls!G$1&amp;Controls!$B11&amp;""" name="""&amp;Controls!G$1&amp;""" wx:mode="""&amp;Controls!G11&amp;"""&gt;"&amp;IF(Controls!G11="E","&lt;response status=""400""/&gt;&lt;response status=""405""/&gt;","&lt;response&gt;&lt;representation mediaType=""application/xml"" element=""sep:"&amp;Controls!$V11&amp;"""/&gt;&lt;/response&gt;")&amp;"&lt;/method&gt;"</f>
        <v>&lt;method id="DELETESubscription" name="DELETE" wx:mode="M"&gt;&lt;response&gt;&lt;representation mediaType="application/xml" element="sep:Subscription"/&gt;&lt;/response&gt;&lt;/method&gt;</v>
      </c>
      <c r="G11" s="1" t="str">
        <f ca="1">IF(ISBLANK(Controls!B11),"",OFFSET(Var!B$11,Controls!O11,0)&amp;"&lt;/resource&gt;")</f>
        <v>&lt;wx:sampleParam name="id1" style="template" type="idType"/&gt;&lt;wx:sampleParam name="id2" style="template" type="idType"/&gt;&lt;/resource&gt;</v>
      </c>
      <c r="I11" s="6" t="str">
        <f>IF(Controls!K11,"&lt;request&gt;&lt;param name=""s"" style=""query"" type=""xsd:int""&gt;&lt;doc&gt;start&lt;/doc&gt;&lt;/param&gt;"&amp;IF(Controls!L11,"&lt;param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2" spans="1:9" ht="49.5" customHeight="1">
      <c r="A12" s="1" t="str">
        <f>"&lt;resource id="""&amp;Controls!B12&amp;""" "&amp;IF(0,"path=""{"&amp;Controls!B12&amp;"Path}""","")&amp;" wx:samplePath="""&amp;Controls!C12&amp;"""&gt;&lt;doc title="""&amp;Controls!$B12&amp;"""&gt;"&amp;Controls!P12&amp;"&lt;/doc&gt;"</f>
        <v>&lt;resource id="NotificationList"  wx:samplePath="/ntfy"&gt;&lt;doc title="NotificationList"&gt;A list of notifications&lt;/doc&gt;</v>
      </c>
      <c r="B12" s="1" t="str">
        <f>"&lt;method id="""&amp;Controls!D$1&amp;Controls!$B12&amp;""" name="""&amp;Controls!D$1&amp;""" wx:mode="""&amp;Controls!D12&amp;"""&gt;"&amp;IF(Controls!D12="E","&lt;response status=""400""/&gt;&lt;response status=""405""/&gt;",I12&amp;"&lt;response&gt;&lt;representation mediaType="""&amp;Var!$B$18&amp;""" element=""sep:"&amp;Controls!$W12&amp;"""/&gt;&lt;representation mediaType="""&amp;Var!$B$19&amp;""" element=""sep:"&amp;Controls!$W12&amp;"""/&gt;&lt;/response&gt;")&amp;"&lt;/method&gt;"</f>
        <v>&lt;method id="GETNotificationList" name="GET" wx:mode="D"&gt;&lt;request&gt;&lt;param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element="sep:NotificationList"/&gt;&lt;representation mediaType="application/sep-exi" element="sep:NotificationList"/&gt;&lt;/response&gt;&lt;/method&gt;</v>
      </c>
      <c r="C12" s="1" t="str">
        <f>"&lt;method id=""HEAD"&amp;Controls!$B12&amp;""" name=""HEAD"" wx:mode="""&amp;Controls!D12&amp;"""/&gt;"</f>
        <v>&lt;method id="HEADNotificationList" name="HEAD" wx:mode="D"/&gt;</v>
      </c>
      <c r="D12" s="1" t="str">
        <f>"&lt;method id="""&amp;Controls!E$1&amp;Controls!$B12&amp;""" name="""&amp;Controls!E$1&amp;""" wx:mode="""&amp;Controls!E12&amp;"""&gt;&lt;request&gt;&lt;representation mediaType="""&amp;Var!$B$18&amp;""" element=""sep:"&amp;Controls!$V12&amp;"""/&gt;&lt;representation mediaType="""&amp;Var!$B$19&amp;""" element=""sep:"&amp;Controls!$V12&amp;"""/&gt;&lt;/request&gt;"&amp;IF(Controls!E12="E","&lt;response status=""400""/&gt;&lt;response status=""405""/&gt;","")&amp;"&lt;/method&gt;"</f>
        <v>&lt;method id="PUTNotificationList" name="PUT" wx:mode="E"&gt;&lt;request&gt;&lt;representation mediaType="application/sep+xml" element="sep:Notification"/&gt;&lt;representation mediaType="application/sep-exi" element="sep:Notification"/&gt;&lt;/request&gt;&lt;response status="400"/&gt;&lt;response status="405"/&gt;&lt;/method&gt;</v>
      </c>
      <c r="E12" s="1" t="str">
        <f>"&lt;method id="""&amp;Controls!F$1&amp;Controls!$B12&amp;""" name="""&amp;Controls!F$1&amp;""" wx:mode="""&amp;Controls!F12&amp;"""&gt;"&amp;IF(Controls!B12="MirrorUsagePoint",Var!$B$21,"&lt;request&gt;&lt;representation mediaType="""&amp;Var!$B$18&amp;""" element=""sep:"&amp;Controls!$V12&amp;"""/&gt;&lt;representation mediaType="""&amp;Var!$B$19&amp;""" element=""sep:"&amp;Controls!$V12&amp;"""/&gt;&lt;/request&gt;")&amp;IF(Controls!F12="E","&lt;response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id="POSTNotificationList" name="POST" wx:mode="M"&gt;&lt;request&gt;&lt;representation mediaType="application/sep+xml" element="sep:Notification"/&gt;&lt;representation mediaType="application/sep-exi" element="sep:Notification"/&gt;&lt;/request&gt;&lt;response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2" s="1" t="str">
        <f>"&lt;method id="""&amp;Controls!G$1&amp;Controls!$B12&amp;""" name="""&amp;Controls!G$1&amp;""" wx:mode="""&amp;Controls!G12&amp;"""&gt;"&amp;IF(Controls!G12="E","&lt;response status=""400""/&gt;&lt;response status=""405""/&gt;","&lt;response&gt;&lt;representation mediaType=""application/xml"" element=""sep:"&amp;Controls!$V12&amp;"""/&gt;&lt;/response&gt;")&amp;"&lt;/method&gt;"</f>
        <v>&lt;method id="DELETENotificationList" name="DELETE" wx:mode="E"&gt;&lt;response status="400"/&gt;&lt;response status="405"/&gt;&lt;/method&gt;</v>
      </c>
      <c r="G12" s="1" t="str">
        <f ca="1">IF(ISBLANK(Controls!B12),"",OFFSET(Var!B$11,Controls!O12,0)&amp;"&lt;/resource&gt;")</f>
        <v>&lt;/resource&gt;</v>
      </c>
      <c r="I12" s="6" t="str">
        <f>IF(Controls!K12,"&lt;request&gt;&lt;param name=""s"" style=""query"" type=""xsd:int""&gt;&lt;doc&gt;start&lt;/doc&gt;&lt;/param&gt;"&amp;IF(Controls!L12,"&lt;param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3" spans="1:9" ht="49.5" customHeight="1">
      <c r="A13" s="1" t="str">
        <f>"&lt;resource id="""&amp;Controls!B13&amp;""" "&amp;IF(0,"path=""{"&amp;Controls!B13&amp;"Path}""","")&amp;" wx:samplePath="""&amp;Controls!C13&amp;"""&gt;&lt;doc title="""&amp;Controls!$B13&amp;"""&gt;"&amp;Controls!P13&amp;"&lt;/doc&gt;"</f>
        <v>&lt;resource id="Notification"  wx:samplePath="/ntfy/{id1}"&gt;&lt;doc title="Notification"&gt;A specific notification&lt;/doc&gt;</v>
      </c>
      <c r="B13" s="1" t="str">
        <f>"&lt;method id="""&amp;Controls!D$1&amp;Controls!$B13&amp;""" name="""&amp;Controls!D$1&amp;""" wx:mode="""&amp;Controls!D13&amp;"""&gt;"&amp;IF(Controls!D13="E","&lt;response status=""400""/&gt;&lt;response status=""405""/&gt;",I13&amp;"&lt;response&gt;&lt;representation mediaType="""&amp;Var!$B$18&amp;""" element=""sep:"&amp;Controls!$W13&amp;"""/&gt;&lt;representation mediaType="""&amp;Var!$B$19&amp;""" element=""sep:"&amp;Controls!$W13&amp;"""/&gt;&lt;/response&gt;")&amp;"&lt;/method&gt;"</f>
        <v>&lt;method id="GETNotification" name="GET" wx:mode="D"&gt;&lt;response&gt;&lt;representation mediaType="application/sep+xml" element="sep:Notification"/&gt;&lt;representation mediaType="application/sep-exi" element="sep:Notification"/&gt;&lt;/response&gt;&lt;/method&gt;</v>
      </c>
      <c r="C13" s="1" t="str">
        <f>"&lt;method id=""HEAD"&amp;Controls!$B13&amp;""" name=""HEAD"" wx:mode="""&amp;Controls!D13&amp;"""/&gt;"</f>
        <v>&lt;method id="HEADNotification" name="HEAD" wx:mode="D"/&gt;</v>
      </c>
      <c r="D13" s="1" t="str">
        <f>"&lt;method id="""&amp;Controls!E$1&amp;Controls!$B13&amp;""" name="""&amp;Controls!E$1&amp;""" wx:mode="""&amp;Controls!E13&amp;"""&gt;&lt;request&gt;&lt;representation mediaType="""&amp;Var!$B$18&amp;""" element=""sep:"&amp;Controls!$V13&amp;"""/&gt;&lt;representation mediaType="""&amp;Var!$B$19&amp;""" element=""sep:"&amp;Controls!$V13&amp;"""/&gt;&lt;/request&gt;"&amp;IF(Controls!E13="E","&lt;response status=""400""/&gt;&lt;response status=""405""/&gt;","")&amp;"&lt;/method&gt;"</f>
        <v>&lt;method id="PUTNotification" name="PUT" wx:mode="E"&gt;&lt;request&gt;&lt;representation mediaType="application/sep+xml" element="sep:Notification"/&gt;&lt;representation mediaType="application/sep-exi" element="sep:Notification"/&gt;&lt;/request&gt;&lt;response status="400"/&gt;&lt;response status="405"/&gt;&lt;/method&gt;</v>
      </c>
      <c r="E13" s="1" t="str">
        <f>"&lt;method id="""&amp;Controls!F$1&amp;Controls!$B13&amp;""" name="""&amp;Controls!F$1&amp;""" wx:mode="""&amp;Controls!F13&amp;"""&gt;"&amp;IF(Controls!B13="MirrorUsagePoint",Var!$B$21,"&lt;request&gt;&lt;representation mediaType="""&amp;Var!$B$18&amp;""" element=""sep:"&amp;Controls!$V13&amp;"""/&gt;&lt;representation mediaType="""&amp;Var!$B$19&amp;""" element=""sep:"&amp;Controls!$V13&amp;"""/&gt;&lt;/request&gt;")&amp;IF(Controls!F13="E","&lt;response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id="POSTNotification" name="POST" wx:mode="E"&gt;&lt;request&gt;&lt;representation mediaType="application/sep+xml" element="sep:Notification"/&gt;&lt;representation mediaType="application/sep-exi" element="sep:Notification"/&gt;&lt;/request&gt;&lt;response status="400"/&gt;&lt;response status="405"/&gt;&lt;/method&gt;</v>
      </c>
      <c r="F13" s="1" t="str">
        <f>"&lt;method id="""&amp;Controls!G$1&amp;Controls!$B13&amp;""" name="""&amp;Controls!G$1&amp;""" wx:mode="""&amp;Controls!G13&amp;"""&gt;"&amp;IF(Controls!G13="E","&lt;response status=""400""/&gt;&lt;response status=""405""/&gt;","&lt;response&gt;&lt;representation mediaType=""application/xml"" element=""sep:"&amp;Controls!$V13&amp;"""/&gt;&lt;/response&gt;")&amp;"&lt;/method&gt;"</f>
        <v>&lt;method id="DELETENotification" name="DELETE" wx:mode="E"&gt;&lt;response status="400"/&gt;&lt;response status="405"/&gt;&lt;/method&gt;</v>
      </c>
      <c r="G13" s="1" t="str">
        <f ca="1">IF(ISBLANK(Controls!B13),"",OFFSET(Var!B$11,Controls!O13,0)&amp;"&lt;/resource&gt;")</f>
        <v>&lt;wx:sampleParam name="id1" style="template" type="idType"/&gt;&lt;/resource&gt;</v>
      </c>
      <c r="I13" s="6" t="str">
        <f>IF(Controls!K13,"&lt;request&gt;&lt;param name=""s"" style=""query"" type=""xsd:int""&gt;&lt;doc&gt;start&lt;/doc&gt;&lt;/param&gt;"&amp;IF(Controls!L13,"&lt;param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4" spans="1:9" ht="49.5" customHeight="1">
      <c r="A14" s="1" t="str">
        <f>"&lt;resource id="""&amp;Controls!B14&amp;""" "&amp;IF(0,"path=""{"&amp;Controls!B14&amp;"Path}""","")&amp;" wx:samplePath="""&amp;Controls!C14&amp;"""&gt;&lt;doc title="""&amp;Controls!$B14&amp;"""&gt;"&amp;Controls!P14&amp;"&lt;/doc&gt;"</f>
        <v>&lt;resource id="ResponseSetList"  wx:samplePath="/rsps"&gt;&lt;doc title="ResponseSetList"&gt;List of ResponseSet instances or channels. Devices implementing the ResponseSetList resource MAY support multiple instances of ResponseSet&lt;/doc&gt;</v>
      </c>
      <c r="B14" s="1" t="str">
        <f>"&lt;method id="""&amp;Controls!D$1&amp;Controls!$B14&amp;""" name="""&amp;Controls!D$1&amp;""" wx:mode="""&amp;Controls!D14&amp;"""&gt;"&amp;IF(Controls!D14="E","&lt;response status=""400""/&gt;&lt;response status=""405""/&gt;",I14&amp;"&lt;response&gt;&lt;representation mediaType="""&amp;Var!$B$18&amp;""" element=""sep:"&amp;Controls!$W14&amp;"""/&gt;&lt;representation mediaType="""&amp;Var!$B$19&amp;""" element=""sep:"&amp;Controls!$W14&amp;"""/&gt;&lt;/response&gt;")&amp;"&lt;/method&gt;"</f>
        <v>&lt;method id="GETResponseSetList" name="GET" wx:mode="O"&gt;&lt;request&gt;&lt;param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element="sep:ResponseSetList"/&gt;&lt;representation mediaType="application/sep-exi" element="sep:ResponseSetList"/&gt;&lt;/response&gt;&lt;/method&gt;</v>
      </c>
      <c r="C14" s="1" t="str">
        <f>"&lt;method id=""HEAD"&amp;Controls!$B14&amp;""" name=""HEAD"" wx:mode="""&amp;Controls!D14&amp;"""/&gt;"</f>
        <v>&lt;method id="HEADResponseSetList" name="HEAD" wx:mode="O"/&gt;</v>
      </c>
      <c r="D14" s="1" t="str">
        <f>"&lt;method id="""&amp;Controls!E$1&amp;Controls!$B14&amp;""" name="""&amp;Controls!E$1&amp;""" wx:mode="""&amp;Controls!E14&amp;"""&gt;&lt;request&gt;&lt;representation mediaType="""&amp;Var!$B$18&amp;""" element=""sep:"&amp;Controls!$V14&amp;"""/&gt;&lt;representation mediaType="""&amp;Var!$B$19&amp;""" element=""sep:"&amp;Controls!$V14&amp;"""/&gt;&lt;/request&gt;"&amp;IF(Controls!E14="E","&lt;response status=""400""/&gt;&lt;response status=""405""/&gt;","")&amp;"&lt;/method&gt;"</f>
        <v>&lt;method id="PUTResponseSetList" name="PUT" wx:mode="E"&gt;&lt;request&gt;&lt;representation mediaType="application/sep+xml" element="sep:ResponseSet"/&gt;&lt;representation mediaType="application/sep-exi" element="sep:ResponseSet"/&gt;&lt;/request&gt;&lt;response status="400"/&gt;&lt;response status="405"/&gt;&lt;/method&gt;</v>
      </c>
      <c r="E14" s="1" t="str">
        <f>"&lt;method id="""&amp;Controls!F$1&amp;Controls!$B14&amp;""" name="""&amp;Controls!F$1&amp;""" wx:mode="""&amp;Controls!F14&amp;"""&gt;"&amp;IF(Controls!B14="MirrorUsagePoint",Var!$B$21,"&lt;request&gt;&lt;representation mediaType="""&amp;Var!$B$18&amp;""" element=""sep:"&amp;Controls!$V14&amp;"""/&gt;&lt;representation mediaType="""&amp;Var!$B$19&amp;""" element=""sep:"&amp;Controls!$V14&amp;"""/&gt;&lt;/request&gt;")&amp;IF(Controls!F14="E","&lt;response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id="POSTResponseSetList" name="POST" wx:mode="D"&gt;&lt;request&gt;&lt;representation mediaType="application/sep+xml" element="sep:ResponseSet"/&gt;&lt;representation mediaType="application/sep-exi" element="sep:ResponseSet"/&gt;&lt;/request&gt;&lt;response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4" s="1" t="str">
        <f>"&lt;method id="""&amp;Controls!G$1&amp;Controls!$B14&amp;""" name="""&amp;Controls!G$1&amp;""" wx:mode="""&amp;Controls!G14&amp;"""&gt;"&amp;IF(Controls!G14="E","&lt;response status=""400""/&gt;&lt;response status=""405""/&gt;","&lt;response&gt;&lt;representation mediaType=""application/xml"" element=""sep:"&amp;Controls!$V14&amp;"""/&gt;&lt;/response&gt;")&amp;"&lt;/method&gt;"</f>
        <v>&lt;method id="DELETEResponseSetList" name="DELETE" wx:mode="E"&gt;&lt;response status="400"/&gt;&lt;response status="405"/&gt;&lt;/method&gt;</v>
      </c>
      <c r="G14" s="1" t="str">
        <f ca="1">IF(ISBLANK(Controls!B14),"",OFFSET(Var!B$11,Controls!O14,0)&amp;"&lt;/resource&gt;")</f>
        <v>&lt;/resource&gt;</v>
      </c>
      <c r="I14" s="6" t="str">
        <f>IF(Controls!K14,"&lt;request&gt;&lt;param name=""s"" style=""query"" type=""xsd:int""&gt;&lt;doc&gt;start&lt;/doc&gt;&lt;/param&gt;"&amp;IF(Controls!L14,"&lt;param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5" spans="1:9" ht="49.5" customHeight="1">
      <c r="A15" s="1" t="str">
        <f>"&lt;resource id="""&amp;Controls!B15&amp;""" "&amp;IF(0,"path=""{"&amp;Controls!B15&amp;"Path}""","")&amp;" wx:samplePath="""&amp;Controls!C15&amp;"""&gt;&lt;doc title="""&amp;Controls!$B15&amp;"""&gt;"&amp;Controls!P15&amp;"&lt;/doc&gt;"</f>
        <v>&lt;resource id="ResponseSet"  wx:samplePath="/rsps/{id1}"&gt;&lt;doc title="ResponseSet"&gt;Specific ResponseSet instance. This resource can be thought of as a particular ResponseList or channel.&lt;/doc&gt;</v>
      </c>
      <c r="B15" s="1" t="str">
        <f>"&lt;method id="""&amp;Controls!D$1&amp;Controls!$B15&amp;""" name="""&amp;Controls!D$1&amp;""" wx:mode="""&amp;Controls!D15&amp;"""&gt;"&amp;IF(Controls!D15="E","&lt;response status=""400""/&gt;&lt;response status=""405""/&gt;",I15&amp;"&lt;response&gt;&lt;representation mediaType="""&amp;Var!$B$18&amp;""" element=""sep:"&amp;Controls!$W15&amp;"""/&gt;&lt;representation mediaType="""&amp;Var!$B$19&amp;""" element=""sep:"&amp;Controls!$W15&amp;"""/&gt;&lt;/response&gt;")&amp;"&lt;/method&gt;"</f>
        <v>&lt;method id="GETResponseSet" name="GET" wx:mode="O"&gt;&lt;response&gt;&lt;representation mediaType="application/sep+xml" element="sep:ResponseSet"/&gt;&lt;representation mediaType="application/sep-exi" element="sep:ResponseSet"/&gt;&lt;/response&gt;&lt;/method&gt;</v>
      </c>
      <c r="C15" s="1" t="str">
        <f>"&lt;method id=""HEAD"&amp;Controls!$B15&amp;""" name=""HEAD"" wx:mode="""&amp;Controls!D15&amp;"""/&gt;"</f>
        <v>&lt;method id="HEADResponseSet" name="HEAD" wx:mode="O"/&gt;</v>
      </c>
      <c r="D15" s="1" t="str">
        <f>"&lt;method id="""&amp;Controls!E$1&amp;Controls!$B15&amp;""" name="""&amp;Controls!E$1&amp;""" wx:mode="""&amp;Controls!E15&amp;"""&gt;&lt;request&gt;&lt;representation mediaType="""&amp;Var!$B$18&amp;""" element=""sep:"&amp;Controls!$V15&amp;"""/&gt;&lt;representation mediaType="""&amp;Var!$B$19&amp;""" element=""sep:"&amp;Controls!$V15&amp;"""/&gt;&lt;/request&gt;"&amp;IF(Controls!E15="E","&lt;response status=""400""/&gt;&lt;response status=""405""/&gt;","")&amp;"&lt;/method&gt;"</f>
        <v>&lt;method id="PUTResponseSet" name="PUT" wx:mode="E"&gt;&lt;request&gt;&lt;representation mediaType="application/sep+xml" element="sep:ResponseSet"/&gt;&lt;representation mediaType="application/sep-exi" element="sep:ResponseSet"/&gt;&lt;/request&gt;&lt;response status="400"/&gt;&lt;response status="405"/&gt;&lt;/method&gt;</v>
      </c>
      <c r="E15" s="1" t="str">
        <f>"&lt;method id="""&amp;Controls!F$1&amp;Controls!$B15&amp;""" name="""&amp;Controls!F$1&amp;""" wx:mode="""&amp;Controls!F15&amp;"""&gt;"&amp;IF(Controls!B15="MirrorUsagePoint",Var!$B$21,"&lt;request&gt;&lt;representation mediaType="""&amp;Var!$B$18&amp;""" element=""sep:"&amp;Controls!$V15&amp;"""/&gt;&lt;representation mediaType="""&amp;Var!$B$19&amp;""" element=""sep:"&amp;Controls!$V15&amp;"""/&gt;&lt;/request&gt;")&amp;IF(Controls!F15="E","&lt;response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id="POSTResponseSet" name="POST" wx:mode="E"&gt;&lt;request&gt;&lt;representation mediaType="application/sep+xml" element="sep:ResponseSet"/&gt;&lt;representation mediaType="application/sep-exi" element="sep:ResponseSet"/&gt;&lt;/request&gt;&lt;response status="400"/&gt;&lt;response status="405"/&gt;&lt;/method&gt;</v>
      </c>
      <c r="F15" s="1" t="str">
        <f>"&lt;method id="""&amp;Controls!G$1&amp;Controls!$B15&amp;""" name="""&amp;Controls!G$1&amp;""" wx:mode="""&amp;Controls!G15&amp;"""&gt;"&amp;IF(Controls!G15="E","&lt;response status=""400""/&gt;&lt;response status=""405""/&gt;","&lt;response&gt;&lt;representation mediaType=""application/xml"" element=""sep:"&amp;Controls!$V15&amp;"""/&gt;&lt;/response&gt;")&amp;"&lt;/method&gt;"</f>
        <v>&lt;method id="DELETEResponseSet" name="DELETE" wx:mode="D"&gt;&lt;response&gt;&lt;representation mediaType="application/xml" element="sep:ResponseSet"/&gt;&lt;/response&gt;&lt;/method&gt;</v>
      </c>
      <c r="G15" s="1" t="str">
        <f ca="1">IF(ISBLANK(Controls!B15),"",OFFSET(Var!B$11,Controls!O15,0)&amp;"&lt;/resource&gt;")</f>
        <v>&lt;wx:sampleParam name="id1" style="template" type="idType"/&gt;&lt;/resource&gt;</v>
      </c>
      <c r="I15" s="6" t="str">
        <f>IF(Controls!K15,"&lt;request&gt;&lt;param name=""s"" style=""query"" type=""xsd:int""&gt;&lt;doc&gt;start&lt;/doc&gt;&lt;/param&gt;"&amp;IF(Controls!L15,"&lt;param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6" spans="1:9" ht="49.5" customHeight="1">
      <c r="A16" s="1" t="str">
        <f>"&lt;resource id="""&amp;Controls!B16&amp;""" "&amp;IF(0,"path=""{"&amp;Controls!B16&amp;"Path}""","")&amp;" wx:samplePath="""&amp;Controls!C16&amp;"""&gt;&lt;doc title="""&amp;Controls!$B16&amp;"""&gt;"&amp;Controls!P16&amp;"&lt;/doc&gt;"</f>
        <v>&lt;resource id="ResponseList"  wx:samplePath="/rsps/{id1}/rsp"&gt;&lt;doc title="ResponseList"&gt;List of Response instances. &lt;/doc&gt;</v>
      </c>
      <c r="B16" s="1" t="str">
        <f>"&lt;method id="""&amp;Controls!D$1&amp;Controls!$B16&amp;""" name="""&amp;Controls!D$1&amp;""" wx:mode="""&amp;Controls!D16&amp;"""&gt;"&amp;IF(Controls!D16="E","&lt;response status=""400""/&gt;&lt;response status=""405""/&gt;",I16&amp;"&lt;response&gt;&lt;representation mediaType="""&amp;Var!$B$18&amp;""" element=""sep:"&amp;Controls!$W16&amp;"""/&gt;&lt;representation mediaType="""&amp;Var!$B$19&amp;""" element=""sep:"&amp;Controls!$W16&amp;"""/&gt;&lt;/response&gt;")&amp;"&lt;/method&gt;"</f>
        <v>&lt;method id="GETResponseList" name="GET" wx:mode="O"&gt;&lt;request&gt;&lt;param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element="sep:ResponseList"/&gt;&lt;representation mediaType="application/sep-exi" element="sep:ResponseList"/&gt;&lt;/response&gt;&lt;/method&gt;</v>
      </c>
      <c r="C16" s="1" t="str">
        <f>"&lt;method id=""HEAD"&amp;Controls!$B16&amp;""" name=""HEAD"" wx:mode="""&amp;Controls!D16&amp;"""/&gt;"</f>
        <v>&lt;method id="HEADResponseList" name="HEAD" wx:mode="O"/&gt;</v>
      </c>
      <c r="D16" s="1" t="str">
        <f>"&lt;method id="""&amp;Controls!E$1&amp;Controls!$B16&amp;""" name="""&amp;Controls!E$1&amp;""" wx:mode="""&amp;Controls!E16&amp;"""&gt;&lt;request&gt;&lt;representation mediaType="""&amp;Var!$B$18&amp;""" element=""sep:"&amp;Controls!$V16&amp;"""/&gt;&lt;representation mediaType="""&amp;Var!$B$19&amp;""" element=""sep:"&amp;Controls!$V16&amp;"""/&gt;&lt;/request&gt;"&amp;IF(Controls!E16="E","&lt;response status=""400""/&gt;&lt;response status=""405""/&gt;","")&amp;"&lt;/method&gt;"</f>
        <v>&lt;method id="PUTResponseList" name="PUT" wx:mode="E"&gt;&lt;request&gt;&lt;representation mediaType="application/sep+xml" element="sep:Response"/&gt;&lt;representation mediaType="application/sep-exi" element="sep:Response"/&gt;&lt;/request&gt;&lt;response status="400"/&gt;&lt;response status="405"/&gt;&lt;/method&gt;</v>
      </c>
      <c r="E16" s="1" t="str">
        <f>"&lt;method id="""&amp;Controls!F$1&amp;Controls!$B16&amp;""" name="""&amp;Controls!F$1&amp;""" wx:mode="""&amp;Controls!F16&amp;"""&gt;"&amp;IF(Controls!B16="MirrorUsagePoint",Var!$B$21,"&lt;request&gt;&lt;representation mediaType="""&amp;Var!$B$18&amp;""" element=""sep:"&amp;Controls!$V16&amp;"""/&gt;&lt;representation mediaType="""&amp;Var!$B$19&amp;""" element=""sep:"&amp;Controls!$V16&amp;"""/&gt;&lt;/request&gt;")&amp;IF(Controls!F16="E","&lt;response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id="POSTResponseList" name="POST" wx:mode="M"&gt;&lt;request&gt;&lt;representation mediaType="application/sep+xml" element="sep:Response"/&gt;&lt;representation mediaType="application/sep-exi" element="sep:Response"/&gt;&lt;/request&gt;&lt;response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6" s="1" t="str">
        <f>"&lt;method id="""&amp;Controls!G$1&amp;Controls!$B16&amp;""" name="""&amp;Controls!G$1&amp;""" wx:mode="""&amp;Controls!G16&amp;"""&gt;"&amp;IF(Controls!G16="E","&lt;response status=""400""/&gt;&lt;response status=""405""/&gt;","&lt;response&gt;&lt;representation mediaType=""application/xml"" element=""sep:"&amp;Controls!$V16&amp;"""/&gt;&lt;/response&gt;")&amp;"&lt;/method&gt;"</f>
        <v>&lt;method id="DELETEResponseList" name="DELETE" wx:mode="E"&gt;&lt;response status="400"/&gt;&lt;response status="405"/&gt;&lt;/method&gt;</v>
      </c>
      <c r="G16" s="1" t="str">
        <f ca="1">IF(ISBLANK(Controls!B16),"",OFFSET(Var!B$11,Controls!O16,0)&amp;"&lt;/resource&gt;")</f>
        <v>&lt;wx:sampleParam name="id1" style="template" type="idType"/&gt;&lt;/resource&gt;</v>
      </c>
      <c r="I16" s="6" t="str">
        <f>IF(Controls!K16,"&lt;request&gt;&lt;param name=""s"" style=""query"" type=""xsd:int""&gt;&lt;doc&gt;start&lt;/doc&gt;&lt;/param&gt;"&amp;IF(Controls!L16,"&lt;param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7" spans="1:9" ht="49.5" customHeight="1">
      <c r="A17" s="1" t="str">
        <f>"&lt;resource id="""&amp;Controls!B17&amp;""" "&amp;IF(0,"path=""{"&amp;Controls!B17&amp;"Path}""","")&amp;" wx:samplePath="""&amp;Controls!C17&amp;"""&gt;&lt;doc title="""&amp;Controls!$B17&amp;"""&gt;"&amp;Controls!P17&amp;"&lt;/doc&gt;"</f>
        <v>&lt;resource id="Response"  wx:samplePath="/rsps/{id1}/rsp/{id2}"&gt;&lt;doc title="Response"&gt;Specific Response instance. &lt;/doc&gt;</v>
      </c>
      <c r="B17" s="1" t="str">
        <f>"&lt;method id="""&amp;Controls!D$1&amp;Controls!$B17&amp;""" name="""&amp;Controls!D$1&amp;""" wx:mode="""&amp;Controls!D17&amp;"""&gt;"&amp;IF(Controls!D17="E","&lt;response status=""400""/&gt;&lt;response status=""405""/&gt;",I17&amp;"&lt;response&gt;&lt;representation mediaType="""&amp;Var!$B$18&amp;""" element=""sep:"&amp;Controls!$W17&amp;"""/&gt;&lt;representation mediaType="""&amp;Var!$B$19&amp;""" element=""sep:"&amp;Controls!$W17&amp;"""/&gt;&lt;/response&gt;")&amp;"&lt;/method&gt;"</f>
        <v>&lt;method id="GETResponse" name="GET" wx:mode="O"&gt;&lt;response&gt;&lt;representation mediaType="application/sep+xml" element="sep:Response"/&gt;&lt;representation mediaType="application/sep-exi" element="sep:Response"/&gt;&lt;/response&gt;&lt;/method&gt;</v>
      </c>
      <c r="C17" s="1" t="str">
        <f>"&lt;method id=""HEAD"&amp;Controls!$B17&amp;""" name=""HEAD"" wx:mode="""&amp;Controls!D17&amp;"""/&gt;"</f>
        <v>&lt;method id="HEADResponse" name="HEAD" wx:mode="O"/&gt;</v>
      </c>
      <c r="D17" s="1" t="str">
        <f>"&lt;method id="""&amp;Controls!E$1&amp;Controls!$B17&amp;""" name="""&amp;Controls!E$1&amp;""" wx:mode="""&amp;Controls!E17&amp;"""&gt;&lt;request&gt;&lt;representation mediaType="""&amp;Var!$B$18&amp;""" element=""sep:"&amp;Controls!$V17&amp;"""/&gt;&lt;representation mediaType="""&amp;Var!$B$19&amp;""" element=""sep:"&amp;Controls!$V17&amp;"""/&gt;&lt;/request&gt;"&amp;IF(Controls!E17="E","&lt;response status=""400""/&gt;&lt;response status=""405""/&gt;","")&amp;"&lt;/method&gt;"</f>
        <v>&lt;method id="PUTResponse" name="PUT" wx:mode="E"&gt;&lt;request&gt;&lt;representation mediaType="application/sep+xml" element="sep:Response"/&gt;&lt;representation mediaType="application/sep-exi" element="sep:Response"/&gt;&lt;/request&gt;&lt;response status="400"/&gt;&lt;response status="405"/&gt;&lt;/method&gt;</v>
      </c>
      <c r="E17" s="1" t="str">
        <f>"&lt;method id="""&amp;Controls!F$1&amp;Controls!$B17&amp;""" name="""&amp;Controls!F$1&amp;""" wx:mode="""&amp;Controls!F17&amp;"""&gt;"&amp;IF(Controls!B17="MirrorUsagePoint",Var!$B$21,"&lt;request&gt;&lt;representation mediaType="""&amp;Var!$B$18&amp;""" element=""sep:"&amp;Controls!$V17&amp;"""/&gt;&lt;representation mediaType="""&amp;Var!$B$19&amp;""" element=""sep:"&amp;Controls!$V17&amp;"""/&gt;&lt;/request&gt;")&amp;IF(Controls!F17="E","&lt;response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id="POSTResponse" name="POST" wx:mode="E"&gt;&lt;request&gt;&lt;representation mediaType="application/sep+xml" element="sep:Response"/&gt;&lt;representation mediaType="application/sep-exi" element="sep:Response"/&gt;&lt;/request&gt;&lt;response status="400"/&gt;&lt;response status="405"/&gt;&lt;/method&gt;</v>
      </c>
      <c r="F17" s="1" t="str">
        <f>"&lt;method id="""&amp;Controls!G$1&amp;Controls!$B17&amp;""" name="""&amp;Controls!G$1&amp;""" wx:mode="""&amp;Controls!G17&amp;"""&gt;"&amp;IF(Controls!G17="E","&lt;response status=""400""/&gt;&lt;response status=""405""/&gt;","&lt;response&gt;&lt;representation mediaType=""application/xml"" element=""sep:"&amp;Controls!$V17&amp;"""/&gt;&lt;/response&gt;")&amp;"&lt;/method&gt;"</f>
        <v>&lt;method id="DELETEResponse" name="DELETE" wx:mode="O"&gt;&lt;response&gt;&lt;representation mediaType="application/xml" element="sep:Response"/&gt;&lt;/response&gt;&lt;/method&gt;</v>
      </c>
      <c r="G17" s="1" t="str">
        <f ca="1">IF(ISBLANK(Controls!B17),"",OFFSET(Var!B$11,Controls!O17,0)&amp;"&lt;/resource&gt;")</f>
        <v>&lt;wx:sampleParam name="id1" style="template" type="idType"/&gt;&lt;wx:sampleParam name="id2" style="template" type="idType"/&gt;&lt;/resource&gt;</v>
      </c>
      <c r="I17" s="6" t="str">
        <f>IF(Controls!K17,"&lt;request&gt;&lt;param name=""s"" style=""query"" type=""xsd:int""&gt;&lt;doc&gt;start&lt;/doc&gt;&lt;/param&gt;"&amp;IF(Controls!L17,"&lt;param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8" spans="1:9" ht="49.5" customHeight="1">
      <c r="A18" s="1" t="str">
        <f>"&lt;resource id="""&amp;Controls!B18&amp;""" "&amp;IF(0,"path=""{"&amp;Controls!B18&amp;"Path}""","")&amp;" wx:samplePath="""&amp;Controls!C18&amp;"""&gt;&lt;doc title="""&amp;Controls!$B18&amp;"""&gt;"&amp;Controls!P18&amp;"&lt;/doc&gt;"</f>
        <v>&lt;resource id="PriceResponse"  wx:samplePath="/rsps/{id1}/rsp/{id2}"&gt;&lt;doc title="PriceResponse"&gt;A specific PriceResponse instance. &lt;/doc&gt;</v>
      </c>
      <c r="B18" s="1" t="str">
        <f>"&lt;method id="""&amp;Controls!D$1&amp;Controls!$B18&amp;""" name="""&amp;Controls!D$1&amp;""" wx:mode="""&amp;Controls!D18&amp;"""&gt;"&amp;IF(Controls!D18="E","&lt;response status=""400""/&gt;&lt;response status=""405""/&gt;",I18&amp;"&lt;response&gt;&lt;representation mediaType="""&amp;Var!$B$18&amp;""" element=""sep:"&amp;Controls!$W18&amp;"""/&gt;&lt;representation mediaType="""&amp;Var!$B$19&amp;""" element=""sep:"&amp;Controls!$W18&amp;"""/&gt;&lt;/response&gt;")&amp;"&lt;/method&gt;"</f>
        <v>&lt;method id="GETPriceResponse" name="GET" wx:mode="O"&gt;&lt;response&gt;&lt;representation mediaType="application/sep+xml" element="sep:PriceResponse"/&gt;&lt;representation mediaType="application/sep-exi" element="sep:PriceResponse"/&gt;&lt;/response&gt;&lt;/method&gt;</v>
      </c>
      <c r="C18" s="1" t="str">
        <f>"&lt;method id=""HEAD"&amp;Controls!$B18&amp;""" name=""HEAD"" wx:mode="""&amp;Controls!D18&amp;"""/&gt;"</f>
        <v>&lt;method id="HEADPriceResponse" name="HEAD" wx:mode="O"/&gt;</v>
      </c>
      <c r="D18" s="1" t="str">
        <f>"&lt;method id="""&amp;Controls!E$1&amp;Controls!$B18&amp;""" name="""&amp;Controls!E$1&amp;""" wx:mode="""&amp;Controls!E18&amp;"""&gt;&lt;request&gt;&lt;representation mediaType="""&amp;Var!$B$18&amp;""" element=""sep:"&amp;Controls!$V18&amp;"""/&gt;&lt;representation mediaType="""&amp;Var!$B$19&amp;""" element=""sep:"&amp;Controls!$V18&amp;"""/&gt;&lt;/request&gt;"&amp;IF(Controls!E18="E","&lt;response status=""400""/&gt;&lt;response status=""405""/&gt;","")&amp;"&lt;/method&gt;"</f>
        <v>&lt;method id="PUTPriceResponse" name="PUT" wx:mode="E"&gt;&lt;request&gt;&lt;representation mediaType="application/sep+xml" element="sep:PriceResponse"/&gt;&lt;representation mediaType="application/sep-exi" element="sep:PriceResponse"/&gt;&lt;/request&gt;&lt;response status="400"/&gt;&lt;response status="405"/&gt;&lt;/method&gt;</v>
      </c>
      <c r="E18" s="1" t="str">
        <f>"&lt;method id="""&amp;Controls!F$1&amp;Controls!$B18&amp;""" name="""&amp;Controls!F$1&amp;""" wx:mode="""&amp;Controls!F18&amp;"""&gt;"&amp;IF(Controls!B18="MirrorUsagePoint",Var!$B$21,"&lt;request&gt;&lt;representation mediaType="""&amp;Var!$B$18&amp;""" element=""sep:"&amp;Controls!$V18&amp;"""/&gt;&lt;representation mediaType="""&amp;Var!$B$19&amp;""" element=""sep:"&amp;Controls!$V18&amp;"""/&gt;&lt;/request&gt;")&amp;IF(Controls!F18="E","&lt;response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id="POSTPriceResponse" name="POST" wx:mode="E"&gt;&lt;request&gt;&lt;representation mediaType="application/sep+xml" element="sep:PriceResponse"/&gt;&lt;representation mediaType="application/sep-exi" element="sep:PriceResponse"/&gt;&lt;/request&gt;&lt;response status="400"/&gt;&lt;response status="405"/&gt;&lt;/method&gt;</v>
      </c>
      <c r="F18" s="1" t="str">
        <f>"&lt;method id="""&amp;Controls!G$1&amp;Controls!$B18&amp;""" name="""&amp;Controls!G$1&amp;""" wx:mode="""&amp;Controls!G18&amp;"""&gt;"&amp;IF(Controls!G18="E","&lt;response status=""400""/&gt;&lt;response status=""405""/&gt;","&lt;response&gt;&lt;representation mediaType=""application/xml"" element=""sep:"&amp;Controls!$V18&amp;"""/&gt;&lt;/response&gt;")&amp;"&lt;/method&gt;"</f>
        <v>&lt;method id="DELETEPriceResponse" name="DELETE" wx:mode="O"&gt;&lt;response&gt;&lt;representation mediaType="application/xml" element="sep:PriceResponse"/&gt;&lt;/response&gt;&lt;/method&gt;</v>
      </c>
      <c r="G18" s="1" t="str">
        <f ca="1">IF(ISBLANK(Controls!B18),"",OFFSET(Var!B$11,Controls!O18,0)&amp;"&lt;/resource&gt;")</f>
        <v>&lt;wx:sampleParam name="id1" style="template" type="idType"/&gt;&lt;wx:sampleParam name="id2" style="template" type="idType"/&gt;&lt;/resource&gt;</v>
      </c>
      <c r="I18" s="6" t="str">
        <f>IF(Controls!K18,"&lt;request&gt;&lt;param name=""s"" style=""query"" type=""xsd:int""&gt;&lt;doc&gt;start&lt;/doc&gt;&lt;/param&gt;"&amp;IF(Controls!L18,"&lt;param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9" spans="1:9" ht="49.5" customHeight="1">
      <c r="A19" s="1" t="str">
        <f>"&lt;resource id="""&amp;Controls!B19&amp;""" "&amp;IF(0,"path=""{"&amp;Controls!B19&amp;"Path}""","")&amp;" wx:samplePath="""&amp;Controls!C19&amp;"""&gt;&lt;doc title="""&amp;Controls!$B19&amp;"""&gt;"&amp;Controls!P19&amp;"&lt;/doc&gt;"</f>
        <v>&lt;resource id="TextResponse"  wx:samplePath="/rsps/{id1}/rsp/{id2}"&gt;&lt;doc title="TextResponse"&gt;A specific TextMessage Response instance.&lt;/doc&gt;</v>
      </c>
      <c r="B19" s="1" t="str">
        <f>"&lt;method id="""&amp;Controls!D$1&amp;Controls!$B19&amp;""" name="""&amp;Controls!D$1&amp;""" wx:mode="""&amp;Controls!D19&amp;"""&gt;"&amp;IF(Controls!D19="E","&lt;response status=""400""/&gt;&lt;response status=""405""/&gt;",I19&amp;"&lt;response&gt;&lt;representation mediaType="""&amp;Var!$B$18&amp;""" element=""sep:"&amp;Controls!$W19&amp;"""/&gt;&lt;representation mediaType="""&amp;Var!$B$19&amp;""" element=""sep:"&amp;Controls!$W19&amp;"""/&gt;&lt;/response&gt;")&amp;"&lt;/method&gt;"</f>
        <v>&lt;method id="GETTextResponse" name="GET" wx:mode="O"&gt;&lt;response&gt;&lt;representation mediaType="application/sep+xml" element="sep:TextResponse"/&gt;&lt;representation mediaType="application/sep-exi" element="sep:TextResponse"/&gt;&lt;/response&gt;&lt;/method&gt;</v>
      </c>
      <c r="C19" s="1" t="str">
        <f>"&lt;method id=""HEAD"&amp;Controls!$B19&amp;""" name=""HEAD"" wx:mode="""&amp;Controls!D19&amp;"""/&gt;"</f>
        <v>&lt;method id="HEADTextResponse" name="HEAD" wx:mode="O"/&gt;</v>
      </c>
      <c r="D19" s="1" t="str">
        <f>"&lt;method id="""&amp;Controls!E$1&amp;Controls!$B19&amp;""" name="""&amp;Controls!E$1&amp;""" wx:mode="""&amp;Controls!E19&amp;"""&gt;&lt;request&gt;&lt;representation mediaType="""&amp;Var!$B$18&amp;""" element=""sep:"&amp;Controls!$V19&amp;"""/&gt;&lt;representation mediaType="""&amp;Var!$B$19&amp;""" element=""sep:"&amp;Controls!$V19&amp;"""/&gt;&lt;/request&gt;"&amp;IF(Controls!E19="E","&lt;response status=""400""/&gt;&lt;response status=""405""/&gt;","")&amp;"&lt;/method&gt;"</f>
        <v>&lt;method id="PUTTextResponse" name="PUT" wx:mode="E"&gt;&lt;request&gt;&lt;representation mediaType="application/sep+xml" element="sep:TextResponse"/&gt;&lt;representation mediaType="application/sep-exi" element="sep:TextResponse"/&gt;&lt;/request&gt;&lt;response status="400"/&gt;&lt;response status="405"/&gt;&lt;/method&gt;</v>
      </c>
      <c r="E19" s="1" t="str">
        <f>"&lt;method id="""&amp;Controls!F$1&amp;Controls!$B19&amp;""" name="""&amp;Controls!F$1&amp;""" wx:mode="""&amp;Controls!F19&amp;"""&gt;"&amp;IF(Controls!B19="MirrorUsagePoint",Var!$B$21,"&lt;request&gt;&lt;representation mediaType="""&amp;Var!$B$18&amp;""" element=""sep:"&amp;Controls!$V19&amp;"""/&gt;&lt;representation mediaType="""&amp;Var!$B$19&amp;""" element=""sep:"&amp;Controls!$V19&amp;"""/&gt;&lt;/request&gt;")&amp;IF(Controls!F19="E","&lt;response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id="POSTTextResponse" name="POST" wx:mode="E"&gt;&lt;request&gt;&lt;representation mediaType="application/sep+xml" element="sep:TextResponse"/&gt;&lt;representation mediaType="application/sep-exi" element="sep:TextResponse"/&gt;&lt;/request&gt;&lt;response status="400"/&gt;&lt;response status="405"/&gt;&lt;/method&gt;</v>
      </c>
      <c r="F19" s="1" t="str">
        <f>"&lt;method id="""&amp;Controls!G$1&amp;Controls!$B19&amp;""" name="""&amp;Controls!G$1&amp;""" wx:mode="""&amp;Controls!G19&amp;"""&gt;"&amp;IF(Controls!G19="E","&lt;response status=""400""/&gt;&lt;response status=""405""/&gt;","&lt;response&gt;&lt;representation mediaType=""application/xml"" element=""sep:"&amp;Controls!$V19&amp;"""/&gt;&lt;/response&gt;")&amp;"&lt;/method&gt;"</f>
        <v>&lt;method id="DELETETextResponse" name="DELETE" wx:mode="O"&gt;&lt;response&gt;&lt;representation mediaType="application/xml" element="sep:TextResponse"/&gt;&lt;/response&gt;&lt;/method&gt;</v>
      </c>
      <c r="G19" s="1" t="str">
        <f ca="1">IF(ISBLANK(Controls!B19),"",OFFSET(Var!B$11,Controls!O19,0)&amp;"&lt;/resource&gt;")</f>
        <v>&lt;wx:sampleParam name="id1" style="template" type="idType"/&gt;&lt;wx:sampleParam name="id2" style="template" type="idType"/&gt;&lt;/resource&gt;</v>
      </c>
      <c r="I19" s="6" t="str">
        <f>IF(Controls!K19,"&lt;request&gt;&lt;param name=""s"" style=""query"" type=""xsd:int""&gt;&lt;doc&gt;start&lt;/doc&gt;&lt;/param&gt;"&amp;IF(Controls!L19,"&lt;param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0" spans="1:9" ht="49.5" customHeight="1">
      <c r="A20" s="1" t="str">
        <f>"&lt;resource id="""&amp;Controls!B20&amp;""" "&amp;IF(0,"path=""{"&amp;Controls!B20&amp;"Path}""","")&amp;" wx:samplePath="""&amp;Controls!C20&amp;"""&gt;&lt;doc title="""&amp;Controls!$B20&amp;"""&gt;"&amp;Controls!P20&amp;"&lt;/doc&gt;"</f>
        <v>&lt;resource id="DERControlResponse"  wx:samplePath="/rsps/{id1}/rsp/{id2}"&gt;&lt;doc title="DERControlResponse"&gt;A specific DERControl Response instance.&lt;/doc&gt;</v>
      </c>
      <c r="B20" s="1" t="str">
        <f>"&lt;method id="""&amp;Controls!D$1&amp;Controls!$B20&amp;""" name="""&amp;Controls!D$1&amp;""" wx:mode="""&amp;Controls!D20&amp;"""&gt;"&amp;IF(Controls!D20="E","&lt;response status=""400""/&gt;&lt;response status=""405""/&gt;",I20&amp;"&lt;response&gt;&lt;representation mediaType="""&amp;Var!$B$18&amp;""" element=""sep:"&amp;Controls!$W20&amp;"""/&gt;&lt;representation mediaType="""&amp;Var!$B$19&amp;""" element=""sep:"&amp;Controls!$W20&amp;"""/&gt;&lt;/response&gt;")&amp;"&lt;/method&gt;"</f>
        <v>&lt;method id="GETDERControlResponse" name="GET" wx:mode="O"&gt;&lt;response&gt;&lt;representation mediaType="application/sep+xml" element="sep:DERControlResponse"/&gt;&lt;representation mediaType="application/sep-exi" element="sep:DERControlResponse"/&gt;&lt;/response&gt;&lt;/method&gt;</v>
      </c>
      <c r="C20" s="1" t="str">
        <f>"&lt;method id=""HEAD"&amp;Controls!$B20&amp;""" name=""HEAD"" wx:mode="""&amp;Controls!D20&amp;"""/&gt;"</f>
        <v>&lt;method id="HEADDERControlResponse" name="HEAD" wx:mode="O"/&gt;</v>
      </c>
      <c r="D20" s="1" t="str">
        <f>"&lt;method id="""&amp;Controls!E$1&amp;Controls!$B20&amp;""" name="""&amp;Controls!E$1&amp;""" wx:mode="""&amp;Controls!E20&amp;"""&gt;&lt;request&gt;&lt;representation mediaType="""&amp;Var!$B$18&amp;""" element=""sep:"&amp;Controls!$V20&amp;"""/&gt;&lt;representation mediaType="""&amp;Var!$B$19&amp;""" element=""sep:"&amp;Controls!$V20&amp;"""/&gt;&lt;/request&gt;"&amp;IF(Controls!E20="E","&lt;response status=""400""/&gt;&lt;response status=""405""/&gt;","")&amp;"&lt;/method&gt;"</f>
        <v>&lt;method id="PUTDERControlResponse" name="PUT" wx:mode="E"&gt;&lt;request&gt;&lt;representation mediaType="application/sep+xml" element="sep:DERControlResponse"/&gt;&lt;representation mediaType="application/sep-exi" element="sep:DERControlResponse"/&gt;&lt;/request&gt;&lt;response status="400"/&gt;&lt;response status="405"/&gt;&lt;/method&gt;</v>
      </c>
      <c r="E20" s="1" t="str">
        <f>"&lt;method id="""&amp;Controls!F$1&amp;Controls!$B20&amp;""" name="""&amp;Controls!F$1&amp;""" wx:mode="""&amp;Controls!F20&amp;"""&gt;"&amp;IF(Controls!B20="MirrorUsagePoint",Var!$B$21,"&lt;request&gt;&lt;representation mediaType="""&amp;Var!$B$18&amp;""" element=""sep:"&amp;Controls!$V20&amp;"""/&gt;&lt;representation mediaType="""&amp;Var!$B$19&amp;""" element=""sep:"&amp;Controls!$V20&amp;"""/&gt;&lt;/request&gt;")&amp;IF(Controls!F20="E","&lt;response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id="POSTDERControlResponse" name="POST" wx:mode="E"&gt;&lt;request&gt;&lt;representation mediaType="application/sep+xml" element="sep:DERControlResponse"/&gt;&lt;representation mediaType="application/sep-exi" element="sep:DERControlResponse"/&gt;&lt;/request&gt;&lt;response status="400"/&gt;&lt;response status="405"/&gt;&lt;/method&gt;</v>
      </c>
      <c r="F20" s="1" t="str">
        <f>"&lt;method id="""&amp;Controls!G$1&amp;Controls!$B20&amp;""" name="""&amp;Controls!G$1&amp;""" wx:mode="""&amp;Controls!G20&amp;"""&gt;"&amp;IF(Controls!G20="E","&lt;response status=""400""/&gt;&lt;response status=""405""/&gt;","&lt;response&gt;&lt;representation mediaType=""application/xml"" element=""sep:"&amp;Controls!$V20&amp;"""/&gt;&lt;/response&gt;")&amp;"&lt;/method&gt;"</f>
        <v>&lt;method id="DELETEDERControlResponse" name="DELETE" wx:mode="O"&gt;&lt;response&gt;&lt;representation mediaType="application/xml" element="sep:DERControlResponse"/&gt;&lt;/response&gt;&lt;/method&gt;</v>
      </c>
      <c r="G20" s="1" t="str">
        <f ca="1">IF(ISBLANK(Controls!B20),"",OFFSET(Var!B$11,Controls!O20,0)&amp;"&lt;/resource&gt;")</f>
        <v>&lt;wx:sampleParam name="id1" style="template" type="idType"/&gt;&lt;wx:sampleParam name="id2" style="template" type="idType"/&gt;&lt;/resource&gt;</v>
      </c>
      <c r="I20" s="6" t="str">
        <f>IF(Controls!K20,"&lt;request&gt;&lt;param name=""s"" style=""query"" type=""xsd:int""&gt;&lt;doc&gt;start&lt;/doc&gt;&lt;/param&gt;"&amp;IF(Controls!L20,"&lt;param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1" spans="1:9" ht="49.5" customHeight="1">
      <c r="A21" s="1" t="str">
        <f>"&lt;resource id="""&amp;Controls!B21&amp;""" "&amp;IF(0,"path=""{"&amp;Controls!B21&amp;"Path}""","")&amp;" wx:samplePath="""&amp;Controls!C21&amp;"""&gt;&lt;doc title="""&amp;Controls!$B21&amp;"""&gt;"&amp;Controls!P21&amp;"&lt;/doc&gt;"</f>
        <v>&lt;resource id="FlowReservationResponseResponse"  wx:samplePath="/rsps/{id1}/rsp/{id2}"&gt;&lt;doc title="FlowReservationResponseResponse"&gt;A specific FlowReservationResponse Response instance.&lt;/doc&gt;</v>
      </c>
      <c r="B21" s="1" t="str">
        <f>"&lt;method id="""&amp;Controls!D$1&amp;Controls!$B21&amp;""" name="""&amp;Controls!D$1&amp;""" wx:mode="""&amp;Controls!D21&amp;"""&gt;"&amp;IF(Controls!D21="E","&lt;response status=""400""/&gt;&lt;response status=""405""/&gt;",I21&amp;"&lt;response&gt;&lt;representation mediaType="""&amp;Var!$B$18&amp;""" element=""sep:"&amp;Controls!$W21&amp;"""/&gt;&lt;representation mediaType="""&amp;Var!$B$19&amp;""" element=""sep:"&amp;Controls!$W21&amp;"""/&gt;&lt;/response&gt;")&amp;"&lt;/method&gt;"</f>
        <v>&lt;method id="GETFlowReservationResponseResponse" name="GET" wx:mode="O"&gt;&lt;response&gt;&lt;representation mediaType="application/sep+xml" element="sep:FlowReservationResponseResponse"/&gt;&lt;representation mediaType="application/sep-exi" element="sep:FlowReservationResponseResponse"/&gt;&lt;/response&gt;&lt;/method&gt;</v>
      </c>
      <c r="C21" s="1" t="str">
        <f>"&lt;method id=""HEAD"&amp;Controls!$B21&amp;""" name=""HEAD"" wx:mode="""&amp;Controls!D21&amp;"""/&gt;"</f>
        <v>&lt;method id="HEADFlowReservationResponseResponse" name="HEAD" wx:mode="O"/&gt;</v>
      </c>
      <c r="D21" s="1" t="str">
        <f>"&lt;method id="""&amp;Controls!E$1&amp;Controls!$B21&amp;""" name="""&amp;Controls!E$1&amp;""" wx:mode="""&amp;Controls!E21&amp;"""&gt;&lt;request&gt;&lt;representation mediaType="""&amp;Var!$B$18&amp;""" element=""sep:"&amp;Controls!$V21&amp;"""/&gt;&lt;representation mediaType="""&amp;Var!$B$19&amp;""" element=""sep:"&amp;Controls!$V21&amp;"""/&gt;&lt;/request&gt;"&amp;IF(Controls!E21="E","&lt;response status=""400""/&gt;&lt;response status=""405""/&gt;","")&amp;"&lt;/method&gt;"</f>
        <v>&lt;method id="PUTFlowReservationResponseResponse" name="PUT" wx:mode="E"&gt;&lt;request&gt;&lt;representation mediaType="application/sep+xml" element="sep:FlowReservationResponseResponse"/&gt;&lt;representation mediaType="application/sep-exi" element="sep:FlowReservationResponseResponse"/&gt;&lt;/request&gt;&lt;response status="400"/&gt;&lt;response status="405"/&gt;&lt;/method&gt;</v>
      </c>
      <c r="E21" s="1" t="str">
        <f>"&lt;method id="""&amp;Controls!F$1&amp;Controls!$B21&amp;""" name="""&amp;Controls!F$1&amp;""" wx:mode="""&amp;Controls!F21&amp;"""&gt;"&amp;IF(Controls!B21="MirrorUsagePoint",Var!$B$21,"&lt;request&gt;&lt;representation mediaType="""&amp;Var!$B$18&amp;""" element=""sep:"&amp;Controls!$V21&amp;"""/&gt;&lt;representation mediaType="""&amp;Var!$B$19&amp;""" element=""sep:"&amp;Controls!$V21&amp;"""/&gt;&lt;/request&gt;")&amp;IF(Controls!F21="E","&lt;response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id="POSTFlowReservationResponseResponse" name="POST" wx:mode="E"&gt;&lt;request&gt;&lt;representation mediaType="application/sep+xml" element="sep:FlowReservationResponseResponse"/&gt;&lt;representation mediaType="application/sep-exi" element="sep:FlowReservationResponseResponse"/&gt;&lt;/request&gt;&lt;response status="400"/&gt;&lt;response status="405"/&gt;&lt;/method&gt;</v>
      </c>
      <c r="F21" s="1" t="str">
        <f>"&lt;method id="""&amp;Controls!G$1&amp;Controls!$B21&amp;""" name="""&amp;Controls!G$1&amp;""" wx:mode="""&amp;Controls!G21&amp;"""&gt;"&amp;IF(Controls!G21="E","&lt;response status=""400""/&gt;&lt;response status=""405""/&gt;","&lt;response&gt;&lt;representation mediaType=""application/xml"" element=""sep:"&amp;Controls!$V21&amp;"""/&gt;&lt;/response&gt;")&amp;"&lt;/method&gt;"</f>
        <v>&lt;method id="DELETEFlowReservationResponseResponse" name="DELETE" wx:mode="O"&gt;&lt;response&gt;&lt;representation mediaType="application/xml" element="sep:FlowReservationResponseResponse"/&gt;&lt;/response&gt;&lt;/method&gt;</v>
      </c>
      <c r="G21" s="1" t="str">
        <f ca="1">IF(ISBLANK(Controls!B21),"",OFFSET(Var!B$11,Controls!O21,0)&amp;"&lt;/resource&gt;")</f>
        <v>&lt;wx:sampleParam name="id1" style="template" type="idType"/&gt;&lt;wx:sampleParam name="id2" style="template" type="idType"/&gt;&lt;/resource&gt;</v>
      </c>
      <c r="I21" s="6" t="str">
        <f>IF(Controls!K21,"&lt;request&gt;&lt;param name=""s"" style=""query"" type=""xsd:int""&gt;&lt;doc&gt;start&lt;/doc&gt;&lt;/param&gt;"&amp;IF(Controls!L21,"&lt;param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2" spans="1:9" ht="49.5" customHeight="1">
      <c r="A22" s="1" t="str">
        <f>"&lt;resource id="""&amp;Controls!B22&amp;""" "&amp;IF(0,"path=""{"&amp;Controls!B22&amp;"Path}""","")&amp;" wx:samplePath="""&amp;Controls!C22&amp;"""&gt;&lt;doc title="""&amp;Controls!$B22&amp;"""&gt;"&amp;Controls!P22&amp;"&lt;/doc&gt;"</f>
        <v>&lt;resource id="DrResponse"  wx:samplePath="/rsps/{id1}/rsp/{id2}"&gt;&lt;doc title="DrResponse"&gt;A specific Demand Response / Load Control EndDeviceControl Response (DrResponse) instance.&lt;/doc&gt;</v>
      </c>
      <c r="B22" s="1" t="str">
        <f>"&lt;method id="""&amp;Controls!D$1&amp;Controls!$B22&amp;""" name="""&amp;Controls!D$1&amp;""" wx:mode="""&amp;Controls!D22&amp;"""&gt;"&amp;IF(Controls!D22="E","&lt;response status=""400""/&gt;&lt;response status=""405""/&gt;",I22&amp;"&lt;response&gt;&lt;representation mediaType="""&amp;Var!$B$18&amp;""" element=""sep:"&amp;Controls!$W22&amp;"""/&gt;&lt;representation mediaType="""&amp;Var!$B$19&amp;""" element=""sep:"&amp;Controls!$W22&amp;"""/&gt;&lt;/response&gt;")&amp;"&lt;/method&gt;"</f>
        <v>&lt;method id="GETDrResponse" name="GET" wx:mode="O"&gt;&lt;response&gt;&lt;representation mediaType="application/sep+xml" element="sep:DrResponse"/&gt;&lt;representation mediaType="application/sep-exi" element="sep:DrResponse"/&gt;&lt;/response&gt;&lt;/method&gt;</v>
      </c>
      <c r="C22" s="1" t="str">
        <f>"&lt;method id=""HEAD"&amp;Controls!$B22&amp;""" name=""HEAD"" wx:mode="""&amp;Controls!D22&amp;"""/&gt;"</f>
        <v>&lt;method id="HEADDrResponse" name="HEAD" wx:mode="O"/&gt;</v>
      </c>
      <c r="D22" s="1" t="str">
        <f>"&lt;method id="""&amp;Controls!E$1&amp;Controls!$B22&amp;""" name="""&amp;Controls!E$1&amp;""" wx:mode="""&amp;Controls!E22&amp;"""&gt;&lt;request&gt;&lt;representation mediaType="""&amp;Var!$B$18&amp;""" element=""sep:"&amp;Controls!$V22&amp;"""/&gt;&lt;representation mediaType="""&amp;Var!$B$19&amp;""" element=""sep:"&amp;Controls!$V22&amp;"""/&gt;&lt;/request&gt;"&amp;IF(Controls!E22="E","&lt;response status=""400""/&gt;&lt;response status=""405""/&gt;","")&amp;"&lt;/method&gt;"</f>
        <v>&lt;method id="PUTDrResponse" name="PUT" wx:mode="E"&gt;&lt;request&gt;&lt;representation mediaType="application/sep+xml" element="sep:DrResponse"/&gt;&lt;representation mediaType="application/sep-exi" element="sep:DrResponse"/&gt;&lt;/request&gt;&lt;response status="400"/&gt;&lt;response status="405"/&gt;&lt;/method&gt;</v>
      </c>
      <c r="E22" s="1" t="str">
        <f>"&lt;method id="""&amp;Controls!F$1&amp;Controls!$B22&amp;""" name="""&amp;Controls!F$1&amp;""" wx:mode="""&amp;Controls!F22&amp;"""&gt;"&amp;IF(Controls!B22="MirrorUsagePoint",Var!$B$21,"&lt;request&gt;&lt;representation mediaType="""&amp;Var!$B$18&amp;""" element=""sep:"&amp;Controls!$V22&amp;"""/&gt;&lt;representation mediaType="""&amp;Var!$B$19&amp;""" element=""sep:"&amp;Controls!$V22&amp;"""/&gt;&lt;/request&gt;")&amp;IF(Controls!F22="E","&lt;response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id="POSTDrResponse" name="POST" wx:mode="E"&gt;&lt;request&gt;&lt;representation mediaType="application/sep+xml" element="sep:DrResponse"/&gt;&lt;representation mediaType="application/sep-exi" element="sep:DrResponse"/&gt;&lt;/request&gt;&lt;response status="400"/&gt;&lt;response status="405"/&gt;&lt;/method&gt;</v>
      </c>
      <c r="F22" s="1" t="str">
        <f>"&lt;method id="""&amp;Controls!G$1&amp;Controls!$B22&amp;""" name="""&amp;Controls!G$1&amp;""" wx:mode="""&amp;Controls!G22&amp;"""&gt;"&amp;IF(Controls!G22="E","&lt;response status=""400""/&gt;&lt;response status=""405""/&gt;","&lt;response&gt;&lt;representation mediaType=""application/xml"" element=""sep:"&amp;Controls!$V22&amp;"""/&gt;&lt;/response&gt;")&amp;"&lt;/method&gt;"</f>
        <v>&lt;method id="DELETEDrResponse" name="DELETE" wx:mode="O"&gt;&lt;response&gt;&lt;representation mediaType="application/xml" element="sep:DrResponse"/&gt;&lt;/response&gt;&lt;/method&gt;</v>
      </c>
      <c r="G22" s="1" t="str">
        <f ca="1">IF(ISBLANK(Controls!B22),"",OFFSET(Var!B$11,Controls!O22,0)&amp;"&lt;/resource&gt;")</f>
        <v>&lt;wx:sampleParam name="id1" style="template" type="idType"/&gt;&lt;wx:sampleParam name="id2" style="template" type="idType"/&gt;&lt;/resource&gt;</v>
      </c>
      <c r="I22" s="6" t="str">
        <f>IF(Controls!K22,"&lt;request&gt;&lt;param name=""s"" style=""query"" type=""xsd:int""&gt;&lt;doc&gt;start&lt;/doc&gt;&lt;/param&gt;"&amp;IF(Controls!L22,"&lt;param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3" spans="1:9" ht="49.5" customHeight="1">
      <c r="A23" s="1" t="str">
        <f>"&lt;resource id="""&amp;Controls!B23&amp;""" "&amp;IF(0,"path=""{"&amp;Controls!B23&amp;"Path}""","")&amp;" wx:samplePath="""&amp;Controls!C23&amp;"""&gt;&lt;doc title="""&amp;Controls!$B23&amp;"""&gt;"&amp;Controls!P23&amp;"&lt;/doc&gt;"</f>
        <v>&lt;resource id="Time"  wx:samplePath="/tm"&gt;&lt;doc title="Time"&gt;Provides the Time Resource.&lt;/doc&gt;</v>
      </c>
      <c r="B23" s="1" t="str">
        <f>"&lt;method id="""&amp;Controls!D$1&amp;Controls!$B23&amp;""" name="""&amp;Controls!D$1&amp;""" wx:mode="""&amp;Controls!D23&amp;"""&gt;"&amp;IF(Controls!D23="E","&lt;response status=""400""/&gt;&lt;response status=""405""/&gt;",I23&amp;"&lt;response&gt;&lt;representation mediaType="""&amp;Var!$B$18&amp;""" element=""sep:"&amp;Controls!$W23&amp;"""/&gt;&lt;representation mediaType="""&amp;Var!$B$19&amp;""" element=""sep:"&amp;Controls!$W23&amp;"""/&gt;&lt;/response&gt;")&amp;"&lt;/method&gt;"</f>
        <v>&lt;method id="GETTime" name="GET" wx:mode="M"&gt;&lt;response&gt;&lt;representation mediaType="application/sep+xml" element="sep:Time"/&gt;&lt;representation mediaType="application/sep-exi" element="sep:Time"/&gt;&lt;/response&gt;&lt;/method&gt;</v>
      </c>
      <c r="C23" s="1" t="str">
        <f>"&lt;method id=""HEAD"&amp;Controls!$B23&amp;""" name=""HEAD"" wx:mode="""&amp;Controls!D23&amp;"""/&gt;"</f>
        <v>&lt;method id="HEADTime" name="HEAD" wx:mode="M"/&gt;</v>
      </c>
      <c r="D23" s="1" t="str">
        <f>"&lt;method id="""&amp;Controls!E$1&amp;Controls!$B23&amp;""" name="""&amp;Controls!E$1&amp;""" wx:mode="""&amp;Controls!E23&amp;"""&gt;&lt;request&gt;&lt;representation mediaType="""&amp;Var!$B$18&amp;""" element=""sep:"&amp;Controls!$V23&amp;"""/&gt;&lt;representation mediaType="""&amp;Var!$B$19&amp;""" element=""sep:"&amp;Controls!$V23&amp;"""/&gt;&lt;/request&gt;"&amp;IF(Controls!E23="E","&lt;response status=""400""/&gt;&lt;response status=""405""/&gt;","")&amp;"&lt;/method&gt;"</f>
        <v>&lt;method id="PUTTime" name="PUT" wx:mode="D"&gt;&lt;request&gt;&lt;representation mediaType="application/sep+xml" element="sep:Time"/&gt;&lt;representation mediaType="application/sep-exi" element="sep:Time"/&gt;&lt;/request&gt;&lt;/method&gt;</v>
      </c>
      <c r="E23" s="1" t="str">
        <f>"&lt;method id="""&amp;Controls!F$1&amp;Controls!$B23&amp;""" name="""&amp;Controls!F$1&amp;""" wx:mode="""&amp;Controls!F23&amp;"""&gt;"&amp;IF(Controls!B23="MirrorUsagePoint",Var!$B$21,"&lt;request&gt;&lt;representation mediaType="""&amp;Var!$B$18&amp;""" element=""sep:"&amp;Controls!$V23&amp;"""/&gt;&lt;representation mediaType="""&amp;Var!$B$19&amp;""" element=""sep:"&amp;Controls!$V23&amp;"""/&gt;&lt;/request&gt;")&amp;IF(Controls!F23="E","&lt;response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id="POSTTime" name="POST" wx:mode="E"&gt;&lt;request&gt;&lt;representation mediaType="application/sep+xml" element="sep:Time"/&gt;&lt;representation mediaType="application/sep-exi" element="sep:Time"/&gt;&lt;/request&gt;&lt;response status="400"/&gt;&lt;response status="405"/&gt;&lt;/method&gt;</v>
      </c>
      <c r="F23" s="1" t="str">
        <f>"&lt;method id="""&amp;Controls!G$1&amp;Controls!$B23&amp;""" name="""&amp;Controls!G$1&amp;""" wx:mode="""&amp;Controls!G23&amp;"""&gt;"&amp;IF(Controls!G23="E","&lt;response status=""400""/&gt;&lt;response status=""405""/&gt;","&lt;response&gt;&lt;representation mediaType=""application/xml"" element=""sep:"&amp;Controls!$V23&amp;"""/&gt;&lt;/response&gt;")&amp;"&lt;/method&gt;"</f>
        <v>&lt;method id="DELETETime" name="DELETE" wx:mode="E"&gt;&lt;response status="400"/&gt;&lt;response status="405"/&gt;&lt;/method&gt;</v>
      </c>
      <c r="G23" s="1" t="str">
        <f ca="1">IF(ISBLANK(Controls!B23),"",OFFSET(Var!B$11,Controls!O23,0)&amp;"&lt;/resource&gt;")</f>
        <v>&lt;/resource&gt;</v>
      </c>
      <c r="I23" s="6" t="str">
        <f>IF(Controls!K23,"&lt;request&gt;&lt;param name=""s"" style=""query"" type=""xsd:int""&gt;&lt;doc&gt;start&lt;/doc&gt;&lt;/param&gt;"&amp;IF(Controls!L23,"&lt;param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4" spans="1:9" ht="49.5" customHeight="1">
      <c r="A24" s="1" t="str">
        <f>"&lt;resource id="""&amp;Controls!B24&amp;""" "&amp;IF(0,"path=""{"&amp;Controls!B24&amp;"Path}""","")&amp;" wx:samplePath="""&amp;Controls!C24&amp;"""&gt;&lt;doc title="""&amp;Controls!$B24&amp;"""&gt;"&amp;Controls!P24&amp;"&lt;/doc&gt;"</f>
        <v>&lt;resource id="DeviceInformation"  wx:samplePath="/edev/{id1}/di"&gt;&lt;doc title="DeviceInformation"&gt;Device Information of the associated EndDevice or SelfDevice.&lt;/doc&gt;</v>
      </c>
      <c r="B24" s="1" t="str">
        <f>"&lt;method id="""&amp;Controls!D$1&amp;Controls!$B24&amp;""" name="""&amp;Controls!D$1&amp;""" wx:mode="""&amp;Controls!D24&amp;"""&gt;"&amp;IF(Controls!D24="E","&lt;response status=""400""/&gt;&lt;response status=""405""/&gt;",I24&amp;"&lt;response&gt;&lt;representation mediaType="""&amp;Var!$B$18&amp;""" element=""sep:"&amp;Controls!$W24&amp;"""/&gt;&lt;representation mediaType="""&amp;Var!$B$19&amp;""" element=""sep:"&amp;Controls!$W24&amp;"""/&gt;&lt;/response&gt;")&amp;"&lt;/method&gt;"</f>
        <v>&lt;method id="GETDeviceInformation" name="GET" wx:mode="M"&gt;&lt;response&gt;&lt;representation mediaType="application/sep+xml" element="sep:DeviceInformation"/&gt;&lt;representation mediaType="application/sep-exi" element="sep:DeviceInformation"/&gt;&lt;/response&gt;&lt;/method&gt;</v>
      </c>
      <c r="C24" s="1" t="str">
        <f>"&lt;method id=""HEAD"&amp;Controls!$B24&amp;""" name=""HEAD"" wx:mode="""&amp;Controls!D24&amp;"""/&gt;"</f>
        <v>&lt;method id="HEADDeviceInformation" name="HEAD" wx:mode="M"/&gt;</v>
      </c>
      <c r="D24" s="1" t="str">
        <f>"&lt;method id="""&amp;Controls!E$1&amp;Controls!$B24&amp;""" name="""&amp;Controls!E$1&amp;""" wx:mode="""&amp;Controls!E24&amp;"""&gt;&lt;request&gt;&lt;representation mediaType="""&amp;Var!$B$18&amp;""" element=""sep:"&amp;Controls!$V24&amp;"""/&gt;&lt;representation mediaType="""&amp;Var!$B$19&amp;""" element=""sep:"&amp;Controls!$V24&amp;"""/&gt;&lt;/request&gt;"&amp;IF(Controls!E24="E","&lt;response status=""400""/&gt;&lt;response status=""405""/&gt;","")&amp;"&lt;/method&gt;"</f>
        <v>&lt;method id="PUTDeviceInformation" name="PUT" wx:mode="M"&gt;&lt;request&gt;&lt;representation mediaType="application/sep+xml" element="sep:DeviceInformation"/&gt;&lt;representation mediaType="application/sep-exi" element="sep:DeviceInformation"/&gt;&lt;/request&gt;&lt;/method&gt;</v>
      </c>
      <c r="E24" s="1" t="str">
        <f>"&lt;method id="""&amp;Controls!F$1&amp;Controls!$B24&amp;""" name="""&amp;Controls!F$1&amp;""" wx:mode="""&amp;Controls!F24&amp;"""&gt;"&amp;IF(Controls!B24="MirrorUsagePoint",Var!$B$21,"&lt;request&gt;&lt;representation mediaType="""&amp;Var!$B$18&amp;""" element=""sep:"&amp;Controls!$V24&amp;"""/&gt;&lt;representation mediaType="""&amp;Var!$B$19&amp;""" element=""sep:"&amp;Controls!$V24&amp;"""/&gt;&lt;/request&gt;")&amp;IF(Controls!F24="E","&lt;response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id="POSTDeviceInformation" name="POST" wx:mode="E"&gt;&lt;request&gt;&lt;representation mediaType="application/sep+xml" element="sep:DeviceInformation"/&gt;&lt;representation mediaType="application/sep-exi" element="sep:DeviceInformation"/&gt;&lt;/request&gt;&lt;response status="400"/&gt;&lt;response status="405"/&gt;&lt;/method&gt;</v>
      </c>
      <c r="F24" s="1" t="str">
        <f>"&lt;method id="""&amp;Controls!G$1&amp;Controls!$B24&amp;""" name="""&amp;Controls!G$1&amp;""" wx:mode="""&amp;Controls!G24&amp;"""&gt;"&amp;IF(Controls!G24="E","&lt;response status=""400""/&gt;&lt;response status=""405""/&gt;","&lt;response&gt;&lt;representation mediaType=""application/xml"" element=""sep:"&amp;Controls!$V24&amp;"""/&gt;&lt;/response&gt;")&amp;"&lt;/method&gt;"</f>
        <v>&lt;method id="DELETEDeviceInformation" name="DELETE" wx:mode="O"&gt;&lt;response&gt;&lt;representation mediaType="application/xml" element="sep:DeviceInformation"/&gt;&lt;/response&gt;&lt;/method&gt;</v>
      </c>
      <c r="G24" s="1" t="str">
        <f ca="1">IF(ISBLANK(Controls!B24),"",OFFSET(Var!B$11,Controls!O24,0)&amp;"&lt;/resource&gt;")</f>
        <v>&lt;wx:sampleParam name="id1" style="template" type="idType"/&gt;&lt;/resource&gt;</v>
      </c>
      <c r="I24" s="6" t="str">
        <f>IF(Controls!K24,"&lt;request&gt;&lt;param name=""s"" style=""query"" type=""xsd:int""&gt;&lt;doc&gt;start&lt;/doc&gt;&lt;/param&gt;"&amp;IF(Controls!L24,"&lt;param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5" spans="1:9" ht="49.5" customHeight="1">
      <c r="A25" s="1" t="str">
        <f>"&lt;resource id="""&amp;Controls!B25&amp;""" "&amp;IF(0,"path=""{"&amp;Controls!B25&amp;"Path}""","")&amp;" wx:samplePath="""&amp;Controls!C25&amp;"""&gt;&lt;doc title="""&amp;Controls!$B25&amp;"""&gt;"&amp;Controls!P25&amp;"&lt;/doc&gt;"</f>
        <v>&lt;resource id="SupportedLocaleList"  wx:samplePath="/edev/{id1}/di/loc"&gt;&lt;doc title="SupportedLocaleList"&gt;A List of supported locales for the associated EndDevice or SelfDevice.&lt;/doc&gt;</v>
      </c>
      <c r="B25" s="1" t="str">
        <f>"&lt;method id="""&amp;Controls!D$1&amp;Controls!$B25&amp;""" name="""&amp;Controls!D$1&amp;""" wx:mode="""&amp;Controls!D25&amp;"""&gt;"&amp;IF(Controls!D25="E","&lt;response status=""400""/&gt;&lt;response status=""405""/&gt;",I25&amp;"&lt;response&gt;&lt;representation mediaType="""&amp;Var!$B$18&amp;""" element=""sep:"&amp;Controls!$W25&amp;"""/&gt;&lt;representation mediaType="""&amp;Var!$B$19&amp;""" element=""sep:"&amp;Controls!$W25&amp;"""/&gt;&lt;/response&gt;")&amp;"&lt;/method&gt;"</f>
        <v>&lt;method id="GETSupportedLocaleList"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element="sep:SupportedLocaleList"/&gt;&lt;representation mediaType="application/sep-exi" element="sep:SupportedLocaleList"/&gt;&lt;/response&gt;&lt;/method&gt;</v>
      </c>
      <c r="C25" s="1" t="str">
        <f>"&lt;method id=""HEAD"&amp;Controls!$B25&amp;""" name=""HEAD"" wx:mode="""&amp;Controls!D25&amp;"""/&gt;"</f>
        <v>&lt;method id="HEADSupportedLocaleList" name="HEAD" wx:mode="M"/&gt;</v>
      </c>
      <c r="D25" s="1" t="str">
        <f>"&lt;method id="""&amp;Controls!E$1&amp;Controls!$B25&amp;""" name="""&amp;Controls!E$1&amp;""" wx:mode="""&amp;Controls!E25&amp;"""&gt;&lt;request&gt;&lt;representation mediaType="""&amp;Var!$B$18&amp;""" element=""sep:"&amp;Controls!$V25&amp;"""/&gt;&lt;representation mediaType="""&amp;Var!$B$19&amp;""" element=""sep:"&amp;Controls!$V25&amp;"""/&gt;&lt;/request&gt;"&amp;IF(Controls!E25="E","&lt;response status=""400""/&gt;&lt;response status=""405""/&gt;","")&amp;"&lt;/method&gt;"</f>
        <v>&lt;method id="PUTSupportedLocaleList" name="PUT" wx:mode="E"&gt;&lt;request&gt;&lt;representation mediaType="application/sep+xml" element="sep:SupportedLocale"/&gt;&lt;representation mediaType="application/sep-exi" element="sep:SupportedLocale"/&gt;&lt;/request&gt;&lt;response status="400"/&gt;&lt;response status="405"/&gt;&lt;/method&gt;</v>
      </c>
      <c r="E25" s="1" t="str">
        <f>"&lt;method id="""&amp;Controls!F$1&amp;Controls!$B25&amp;""" name="""&amp;Controls!F$1&amp;""" wx:mode="""&amp;Controls!F25&amp;"""&gt;"&amp;IF(Controls!B25="MirrorUsagePoint",Var!$B$21,"&lt;request&gt;&lt;representation mediaType="""&amp;Var!$B$18&amp;""" element=""sep:"&amp;Controls!$V25&amp;"""/&gt;&lt;representation mediaType="""&amp;Var!$B$19&amp;""" element=""sep:"&amp;Controls!$V25&amp;"""/&gt;&lt;/request&gt;")&amp;IF(Controls!F25="E","&lt;response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id="POSTSupportedLocaleList" name="POST" wx:mode="M"&gt;&lt;request&gt;&lt;representation mediaType="application/sep+xml" element="sep:SupportedLocale"/&gt;&lt;representation mediaType="application/sep-exi" element="sep:SupportedLocale"/&gt;&lt;/request&gt;&lt;response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25" s="1" t="str">
        <f>"&lt;method id="""&amp;Controls!G$1&amp;Controls!$B25&amp;""" name="""&amp;Controls!G$1&amp;""" wx:mode="""&amp;Controls!G25&amp;"""&gt;"&amp;IF(Controls!G25="E","&lt;response status=""400""/&gt;&lt;response status=""405""/&gt;","&lt;response&gt;&lt;representation mediaType=""application/xml"" element=""sep:"&amp;Controls!$V25&amp;"""/&gt;&lt;/response&gt;")&amp;"&lt;/method&gt;"</f>
        <v>&lt;method id="DELETESupportedLocaleList" name="DELETE" wx:mode="E"&gt;&lt;response status="400"/&gt;&lt;response status="405"/&gt;&lt;/method&gt;</v>
      </c>
      <c r="G25" s="1" t="str">
        <f ca="1">IF(ISBLANK(Controls!B25),"",OFFSET(Var!B$11,Controls!O25,0)&amp;"&lt;/resource&gt;")</f>
        <v>&lt;wx:sampleParam name="id1" style="template" type="idType"/&gt;&lt;/resource&gt;</v>
      </c>
      <c r="I25" s="6" t="str">
        <f>IF(Controls!K25,"&lt;request&gt;&lt;param name=""s"" style=""query"" type=""xsd:int""&gt;&lt;doc&gt;start&lt;/doc&gt;&lt;/param&gt;"&amp;IF(Controls!L25,"&lt;param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26" spans="1:9" ht="49.5" customHeight="1">
      <c r="A26" s="1" t="str">
        <f>"&lt;resource id="""&amp;Controls!B26&amp;""" "&amp;IF(0,"path=""{"&amp;Controls!B26&amp;"Path}""","")&amp;" wx:samplePath="""&amp;Controls!C26&amp;"""&gt;&lt;doc title="""&amp;Controls!$B26&amp;"""&gt;"&amp;Controls!P26&amp;"&lt;/doc&gt;"</f>
        <v>&lt;resource id="SupportedLocale"  wx:samplePath="/edev/{id1}/di/loc/{id2}"&gt;&lt;doc title="SupportedLocale"&gt;A specific supported locale for the associated EndDevice or SelfDevice.&lt;/doc&gt;</v>
      </c>
      <c r="B26" s="1" t="str">
        <f>"&lt;method id="""&amp;Controls!D$1&amp;Controls!$B26&amp;""" name="""&amp;Controls!D$1&amp;""" wx:mode="""&amp;Controls!D26&amp;"""&gt;"&amp;IF(Controls!D26="E","&lt;response status=""400""/&gt;&lt;response status=""405""/&gt;",I26&amp;"&lt;response&gt;&lt;representation mediaType="""&amp;Var!$B$18&amp;""" element=""sep:"&amp;Controls!$W26&amp;"""/&gt;&lt;representation mediaType="""&amp;Var!$B$19&amp;""" element=""sep:"&amp;Controls!$W26&amp;"""/&gt;&lt;/response&gt;")&amp;"&lt;/method&gt;"</f>
        <v>&lt;method id="GETSupportedLocale" name="GET" wx:mode="M"&gt;&lt;response&gt;&lt;representation mediaType="application/sep+xml" element="sep:SupportedLocale"/&gt;&lt;representation mediaType="application/sep-exi" element="sep:SupportedLocale"/&gt;&lt;/response&gt;&lt;/method&gt;</v>
      </c>
      <c r="C26" s="1" t="str">
        <f>"&lt;method id=""HEAD"&amp;Controls!$B26&amp;""" name=""HEAD"" wx:mode="""&amp;Controls!D26&amp;"""/&gt;"</f>
        <v>&lt;method id="HEADSupportedLocale" name="HEAD" wx:mode="M"/&gt;</v>
      </c>
      <c r="D26" s="1" t="str">
        <f>"&lt;method id="""&amp;Controls!E$1&amp;Controls!$B26&amp;""" name="""&amp;Controls!E$1&amp;""" wx:mode="""&amp;Controls!E26&amp;"""&gt;&lt;request&gt;&lt;representation mediaType="""&amp;Var!$B$18&amp;""" element=""sep:"&amp;Controls!$V26&amp;"""/&gt;&lt;representation mediaType="""&amp;Var!$B$19&amp;""" element=""sep:"&amp;Controls!$V26&amp;"""/&gt;&lt;/request&gt;"&amp;IF(Controls!E26="E","&lt;response status=""400""/&gt;&lt;response status=""405""/&gt;","")&amp;"&lt;/method&gt;"</f>
        <v>&lt;method id="PUTSupportedLocale" name="PUT" wx:mode="M"&gt;&lt;request&gt;&lt;representation mediaType="application/sep+xml" element="sep:SupportedLocale"/&gt;&lt;representation mediaType="application/sep-exi" element="sep:SupportedLocale"/&gt;&lt;/request&gt;&lt;/method&gt;</v>
      </c>
      <c r="E26" s="1" t="str">
        <f>"&lt;method id="""&amp;Controls!F$1&amp;Controls!$B26&amp;""" name="""&amp;Controls!F$1&amp;""" wx:mode="""&amp;Controls!F26&amp;"""&gt;"&amp;IF(Controls!B26="MirrorUsagePoint",Var!$B$21,"&lt;request&gt;&lt;representation mediaType="""&amp;Var!$B$18&amp;""" element=""sep:"&amp;Controls!$V26&amp;"""/&gt;&lt;representation mediaType="""&amp;Var!$B$19&amp;""" element=""sep:"&amp;Controls!$V26&amp;"""/&gt;&lt;/request&gt;")&amp;IF(Controls!F26="E","&lt;response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id="POSTSupportedLocale" name="POST" wx:mode="E"&gt;&lt;request&gt;&lt;representation mediaType="application/sep+xml" element="sep:SupportedLocale"/&gt;&lt;representation mediaType="application/sep-exi" element="sep:SupportedLocale"/&gt;&lt;/request&gt;&lt;response status="400"/&gt;&lt;response status="405"/&gt;&lt;/method&gt;</v>
      </c>
      <c r="F26" s="1" t="str">
        <f>"&lt;method id="""&amp;Controls!G$1&amp;Controls!$B26&amp;""" name="""&amp;Controls!G$1&amp;""" wx:mode="""&amp;Controls!G26&amp;"""&gt;"&amp;IF(Controls!G26="E","&lt;response status=""400""/&gt;&lt;response status=""405""/&gt;","&lt;response&gt;&lt;representation mediaType=""application/xml"" element=""sep:"&amp;Controls!$V26&amp;"""/&gt;&lt;/response&gt;")&amp;"&lt;/method&gt;"</f>
        <v>&lt;method id="DELETESupportedLocale" name="DELETE" wx:mode="M"&gt;&lt;response&gt;&lt;representation mediaType="application/xml" element="sep:SupportedLocale"/&gt;&lt;/response&gt;&lt;/method&gt;</v>
      </c>
      <c r="G26" s="1" t="str">
        <f ca="1">IF(ISBLANK(Controls!B26),"",OFFSET(Var!B$11,Controls!O26,0)&amp;"&lt;/resource&gt;")</f>
        <v>&lt;wx:sampleParam name="id1" style="template" type="idType"/&gt;&lt;wx:sampleParam name="id2" style="template" type="idType"/&gt;&lt;/resource&gt;</v>
      </c>
      <c r="I26" s="6" t="str">
        <f>IF(Controls!K26,"&lt;request&gt;&lt;param name=""s"" style=""query"" type=""xsd:int""&gt;&lt;doc&gt;start&lt;/doc&gt;&lt;/param&gt;"&amp;IF(Controls!L26,"&lt;param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7" spans="1:9" ht="49.5" customHeight="1">
      <c r="A27" s="1" t="str">
        <f>"&lt;resource id="""&amp;Controls!B27&amp;""" "&amp;IF(0,"path=""{"&amp;Controls!B27&amp;"Path}""","")&amp;" wx:samplePath="""&amp;Controls!C27&amp;"""&gt;&lt;doc title="""&amp;Controls!$B27&amp;"""&gt;"&amp;Controls!P27&amp;"&lt;/doc&gt;"</f>
        <v>&lt;resource id="PowerStatus"  wx:samplePath="/edev/{id1}/ps"&gt;&lt;doc title="PowerStatus"&gt;Contains the power status for the associated EndDevice or SelfDevice.&lt;/doc&gt;</v>
      </c>
      <c r="B27" s="1" t="str">
        <f>"&lt;method id="""&amp;Controls!D$1&amp;Controls!$B27&amp;""" name="""&amp;Controls!D$1&amp;""" wx:mode="""&amp;Controls!D27&amp;"""&gt;"&amp;IF(Controls!D27="E","&lt;response status=""400""/&gt;&lt;response status=""405""/&gt;",I27&amp;"&lt;response&gt;&lt;representation mediaType="""&amp;Var!$B$18&amp;""" element=""sep:"&amp;Controls!$W27&amp;"""/&gt;&lt;representation mediaType="""&amp;Var!$B$19&amp;""" element=""sep:"&amp;Controls!$W27&amp;"""/&gt;&lt;/response&gt;")&amp;"&lt;/method&gt;"</f>
        <v>&lt;method id="GETPowerStatus" name="GET" wx:mode="M"&gt;&lt;response&gt;&lt;representation mediaType="application/sep+xml" element="sep:PowerStatus"/&gt;&lt;representation mediaType="application/sep-exi" element="sep:PowerStatus"/&gt;&lt;/response&gt;&lt;/method&gt;</v>
      </c>
      <c r="C27" s="1" t="str">
        <f>"&lt;method id=""HEAD"&amp;Controls!$B27&amp;""" name=""HEAD"" wx:mode="""&amp;Controls!D27&amp;"""/&gt;"</f>
        <v>&lt;method id="HEADPowerStatus" name="HEAD" wx:mode="M"/&gt;</v>
      </c>
      <c r="D27" s="1" t="str">
        <f>"&lt;method id="""&amp;Controls!E$1&amp;Controls!$B27&amp;""" name="""&amp;Controls!E$1&amp;""" wx:mode="""&amp;Controls!E27&amp;"""&gt;&lt;request&gt;&lt;representation mediaType="""&amp;Var!$B$18&amp;""" element=""sep:"&amp;Controls!$V27&amp;"""/&gt;&lt;representation mediaType="""&amp;Var!$B$19&amp;""" element=""sep:"&amp;Controls!$V27&amp;"""/&gt;&lt;/request&gt;"&amp;IF(Controls!E27="E","&lt;response status=""400""/&gt;&lt;response status=""405""/&gt;","")&amp;"&lt;/method&gt;"</f>
        <v>&lt;method id="PUTPowerStatus" name="PUT" wx:mode="M"&gt;&lt;request&gt;&lt;representation mediaType="application/sep+xml" element="sep:PowerStatus"/&gt;&lt;representation mediaType="application/sep-exi" element="sep:PowerStatus"/&gt;&lt;/request&gt;&lt;/method&gt;</v>
      </c>
      <c r="E27" s="1" t="str">
        <f>"&lt;method id="""&amp;Controls!F$1&amp;Controls!$B27&amp;""" name="""&amp;Controls!F$1&amp;""" wx:mode="""&amp;Controls!F27&amp;"""&gt;"&amp;IF(Controls!B27="MirrorUsagePoint",Var!$B$21,"&lt;request&gt;&lt;representation mediaType="""&amp;Var!$B$18&amp;""" element=""sep:"&amp;Controls!$V27&amp;"""/&gt;&lt;representation mediaType="""&amp;Var!$B$19&amp;""" element=""sep:"&amp;Controls!$V27&amp;"""/&gt;&lt;/request&gt;")&amp;IF(Controls!F27="E","&lt;response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id="POSTPowerStatus" name="POST" wx:mode="E"&gt;&lt;request&gt;&lt;representation mediaType="application/sep+xml" element="sep:PowerStatus"/&gt;&lt;representation mediaType="application/sep-exi" element="sep:PowerStatus"/&gt;&lt;/request&gt;&lt;response status="400"/&gt;&lt;response status="405"/&gt;&lt;/method&gt;</v>
      </c>
      <c r="F27" s="1" t="str">
        <f>"&lt;method id="""&amp;Controls!G$1&amp;Controls!$B27&amp;""" name="""&amp;Controls!G$1&amp;""" wx:mode="""&amp;Controls!G27&amp;"""&gt;"&amp;IF(Controls!G27="E","&lt;response status=""400""/&gt;&lt;response status=""405""/&gt;","&lt;response&gt;&lt;representation mediaType=""application/xml"" element=""sep:"&amp;Controls!$V27&amp;"""/&gt;&lt;/response&gt;")&amp;"&lt;/method&gt;"</f>
        <v>&lt;method id="DELETEPowerStatus" name="DELETE" wx:mode="E"&gt;&lt;response status="400"/&gt;&lt;response status="405"/&gt;&lt;/method&gt;</v>
      </c>
      <c r="G27" s="1" t="str">
        <f ca="1">IF(ISBLANK(Controls!B27),"",OFFSET(Var!B$11,Controls!O27,0)&amp;"&lt;/resource&gt;")</f>
        <v>&lt;wx:sampleParam name="id1" style="template" type="idType"/&gt;&lt;/resource&gt;</v>
      </c>
      <c r="I27" s="6" t="str">
        <f>IF(Controls!K27,"&lt;request&gt;&lt;param name=""s"" style=""query"" type=""xsd:int""&gt;&lt;doc&gt;start&lt;/doc&gt;&lt;/param&gt;"&amp;IF(Controls!L27,"&lt;param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28" spans="1:9" ht="49.5" customHeight="1">
      <c r="A28" s="1" t="str">
        <f>"&lt;resource id="""&amp;Controls!B28&amp;""" "&amp;IF(0,"path=""{"&amp;Controls!B28&amp;"Path}""","")&amp;" wx:samplePath="""&amp;Controls!C28&amp;"""&gt;&lt;doc title="""&amp;Controls!$B28&amp;"""&gt;"&amp;Controls!P28&amp;"&lt;/doc&gt;"</f>
        <v>&lt;resource id="IPInterfaceList"  wx:samplePath="/edev/{id1}/ns"&gt;&lt;doc title="IPInterfaceList"&gt;List of IPInterface instances on the associated EndDevice or SelfDevice.&lt;/doc&gt;</v>
      </c>
      <c r="B28" s="1" t="str">
        <f>"&lt;method id="""&amp;Controls!D$1&amp;Controls!$B28&amp;""" name="""&amp;Controls!D$1&amp;""" wx:mode="""&amp;Controls!D28&amp;"""&gt;"&amp;IF(Controls!D28="E","&lt;response status=""400""/&gt;&lt;response status=""405""/&gt;",I28&amp;"&lt;response&gt;&lt;representation mediaType="""&amp;Var!$B$18&amp;""" element=""sep:"&amp;Controls!$W28&amp;"""/&gt;&lt;representation mediaType="""&amp;Var!$B$19&amp;""" element=""sep:"&amp;Controls!$W28&amp;"""/&gt;&lt;/response&gt;")&amp;"&lt;/method&gt;"</f>
        <v>&lt;method id="GETIPInterfaceList"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element="sep:IPInterfaceList"/&gt;&lt;representation mediaType="application/sep-exi" element="sep:IPInterfaceList"/&gt;&lt;/response&gt;&lt;/method&gt;</v>
      </c>
      <c r="C28" s="1" t="str">
        <f>"&lt;method id=""HEAD"&amp;Controls!$B28&amp;""" name=""HEAD"" wx:mode="""&amp;Controls!D28&amp;"""/&gt;"</f>
        <v>&lt;method id="HEADIPInterfaceList" name="HEAD" wx:mode="M"/&gt;</v>
      </c>
      <c r="D28" s="1" t="str">
        <f>"&lt;method id="""&amp;Controls!E$1&amp;Controls!$B28&amp;""" name="""&amp;Controls!E$1&amp;""" wx:mode="""&amp;Controls!E28&amp;"""&gt;&lt;request&gt;&lt;representation mediaType="""&amp;Var!$B$18&amp;""" element=""sep:"&amp;Controls!$V28&amp;"""/&gt;&lt;representation mediaType="""&amp;Var!$B$19&amp;""" element=""sep:"&amp;Controls!$V28&amp;"""/&gt;&lt;/request&gt;"&amp;IF(Controls!E28="E","&lt;response status=""400""/&gt;&lt;response status=""405""/&gt;","")&amp;"&lt;/method&gt;"</f>
        <v>&lt;method id="PUTIPInterfaceList" name="PUT" wx:mode="E"&gt;&lt;request&gt;&lt;representation mediaType="application/sep+xml" element="sep:IPInterface"/&gt;&lt;representation mediaType="application/sep-exi" element="sep:IPInterface"/&gt;&lt;/request&gt;&lt;response status="400"/&gt;&lt;response status="405"/&gt;&lt;/method&gt;</v>
      </c>
      <c r="E28" s="1" t="str">
        <f>"&lt;method id="""&amp;Controls!F$1&amp;Controls!$B28&amp;""" name="""&amp;Controls!F$1&amp;""" wx:mode="""&amp;Controls!F28&amp;"""&gt;"&amp;IF(Controls!B28="MirrorUsagePoint",Var!$B$21,"&lt;request&gt;&lt;representation mediaType="""&amp;Var!$B$18&amp;""" element=""sep:"&amp;Controls!$V28&amp;"""/&gt;&lt;representation mediaType="""&amp;Var!$B$19&amp;""" element=""sep:"&amp;Controls!$V28&amp;"""/&gt;&lt;/request&gt;")&amp;IF(Controls!F28="E","&lt;response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id="POSTIPInterfaceList" name="POST" wx:mode="O"&gt;&lt;request&gt;&lt;representation mediaType="application/sep+xml" element="sep:IPInterface"/&gt;&lt;representation mediaType="application/sep-exi" element="sep:IPInterface"/&gt;&lt;/request&gt;&lt;response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28" s="1" t="str">
        <f>"&lt;method id="""&amp;Controls!G$1&amp;Controls!$B28&amp;""" name="""&amp;Controls!G$1&amp;""" wx:mode="""&amp;Controls!G28&amp;"""&gt;"&amp;IF(Controls!G28="E","&lt;response status=""400""/&gt;&lt;response status=""405""/&gt;","&lt;response&gt;&lt;representation mediaType=""application/xml"" element=""sep:"&amp;Controls!$V28&amp;"""/&gt;&lt;/response&gt;")&amp;"&lt;/method&gt;"</f>
        <v>&lt;method id="DELETEIPInterfaceList" name="DELETE" wx:mode="E"&gt;&lt;response status="400"/&gt;&lt;response status="405"/&gt;&lt;/method&gt;</v>
      </c>
      <c r="G28" s="1" t="str">
        <f ca="1">IF(ISBLANK(Controls!B28),"",OFFSET(Var!B$11,Controls!O28,0)&amp;"&lt;/resource&gt;")</f>
        <v>&lt;wx:sampleParam name="id1" style="template" type="idType"/&gt;&lt;/resource&gt;</v>
      </c>
      <c r="I28" s="6" t="str">
        <f>IF(Controls!K28,"&lt;request&gt;&lt;param name=""s"" style=""query"" type=""xsd:int""&gt;&lt;doc&gt;start&lt;/doc&gt;&lt;/param&gt;"&amp;IF(Controls!L28,"&lt;param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29" spans="1:9" ht="49.5" customHeight="1">
      <c r="A29" s="1" t="str">
        <f>"&lt;resource id="""&amp;Controls!B29&amp;""" "&amp;IF(0,"path=""{"&amp;Controls!B29&amp;"Path}""","")&amp;" wx:samplePath="""&amp;Controls!C29&amp;"""&gt;&lt;doc title="""&amp;Controls!$B29&amp;"""&gt;"&amp;Controls!P29&amp;"&lt;/doc&gt;"</f>
        <v>&lt;resource id="IPInterface"  wx:samplePath="/edev/{id1}/ns/{id2}"&gt;&lt;doc title="IPInterface"&gt;Specific IPInterface resource.  This resource may be thought of as network status information for a specific network (IP) layer interface.&lt;/doc&gt;</v>
      </c>
      <c r="B29" s="1" t="str">
        <f>"&lt;method id="""&amp;Controls!D$1&amp;Controls!$B29&amp;""" name="""&amp;Controls!D$1&amp;""" wx:mode="""&amp;Controls!D29&amp;"""&gt;"&amp;IF(Controls!D29="E","&lt;response status=""400""/&gt;&lt;response status=""405""/&gt;",I29&amp;"&lt;response&gt;&lt;representation mediaType="""&amp;Var!$B$18&amp;""" element=""sep:"&amp;Controls!$W29&amp;"""/&gt;&lt;representation mediaType="""&amp;Var!$B$19&amp;""" element=""sep:"&amp;Controls!$W29&amp;"""/&gt;&lt;/response&gt;")&amp;"&lt;/method&gt;"</f>
        <v>&lt;method id="GETIPInterface" name="GET" wx:mode="M"&gt;&lt;response&gt;&lt;representation mediaType="application/sep+xml" element="sep:IPInterface"/&gt;&lt;representation mediaType="application/sep-exi" element="sep:IPInterface"/&gt;&lt;/response&gt;&lt;/method&gt;</v>
      </c>
      <c r="C29" s="1" t="str">
        <f>"&lt;method id=""HEAD"&amp;Controls!$B29&amp;""" name=""HEAD"" wx:mode="""&amp;Controls!D29&amp;"""/&gt;"</f>
        <v>&lt;method id="HEADIPInterface" name="HEAD" wx:mode="M"/&gt;</v>
      </c>
      <c r="D29" s="1" t="str">
        <f>"&lt;method id="""&amp;Controls!E$1&amp;Controls!$B29&amp;""" name="""&amp;Controls!E$1&amp;""" wx:mode="""&amp;Controls!E29&amp;"""&gt;&lt;request&gt;&lt;representation mediaType="""&amp;Var!$B$18&amp;""" element=""sep:"&amp;Controls!$V29&amp;"""/&gt;&lt;representation mediaType="""&amp;Var!$B$19&amp;""" element=""sep:"&amp;Controls!$V29&amp;"""/&gt;&lt;/request&gt;"&amp;IF(Controls!E29="E","&lt;response status=""400""/&gt;&lt;response status=""405""/&gt;","")&amp;"&lt;/method&gt;"</f>
        <v>&lt;method id="PUTIPInterface" name="PUT" wx:mode="O"&gt;&lt;request&gt;&lt;representation mediaType="application/sep+xml" element="sep:IPInterface"/&gt;&lt;representation mediaType="application/sep-exi" element="sep:IPInterface"/&gt;&lt;/request&gt;&lt;/method&gt;</v>
      </c>
      <c r="E29" s="1" t="str">
        <f>"&lt;method id="""&amp;Controls!F$1&amp;Controls!$B29&amp;""" name="""&amp;Controls!F$1&amp;""" wx:mode="""&amp;Controls!F29&amp;"""&gt;"&amp;IF(Controls!B29="MirrorUsagePoint",Var!$B$21,"&lt;request&gt;&lt;representation mediaType="""&amp;Var!$B$18&amp;""" element=""sep:"&amp;Controls!$V29&amp;"""/&gt;&lt;representation mediaType="""&amp;Var!$B$19&amp;""" element=""sep:"&amp;Controls!$V29&amp;"""/&gt;&lt;/request&gt;")&amp;IF(Controls!F29="E","&lt;response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id="POSTIPInterface" name="POST" wx:mode="E"&gt;&lt;request&gt;&lt;representation mediaType="application/sep+xml" element="sep:IPInterface"/&gt;&lt;representation mediaType="application/sep-exi" element="sep:IPInterface"/&gt;&lt;/request&gt;&lt;response status="400"/&gt;&lt;response status="405"/&gt;&lt;/method&gt;</v>
      </c>
      <c r="F29" s="1" t="str">
        <f>"&lt;method id="""&amp;Controls!G$1&amp;Controls!$B29&amp;""" name="""&amp;Controls!G$1&amp;""" wx:mode="""&amp;Controls!G29&amp;"""&gt;"&amp;IF(Controls!G29="E","&lt;response status=""400""/&gt;&lt;response status=""405""/&gt;","&lt;response&gt;&lt;representation mediaType=""application/xml"" element=""sep:"&amp;Controls!$V29&amp;"""/&gt;&lt;/response&gt;")&amp;"&lt;/method&gt;"</f>
        <v>&lt;method id="DELETEIPInterface" name="DELETE" wx:mode="O"&gt;&lt;response&gt;&lt;representation mediaType="application/xml" element="sep:IPInterface"/&gt;&lt;/response&gt;&lt;/method&gt;</v>
      </c>
      <c r="G29" s="1" t="str">
        <f ca="1">IF(ISBLANK(Controls!B29),"",OFFSET(Var!B$11,Controls!O29,0)&amp;"&lt;/resource&gt;")</f>
        <v>&lt;wx:sampleParam name="id1" style="template" type="idType"/&gt;&lt;wx:sampleParam name="id2" style="template" type="idType"/&gt;&lt;/resource&gt;</v>
      </c>
      <c r="I29" s="6" t="str">
        <f>IF(Controls!K29,"&lt;request&gt;&lt;param name=""s"" style=""query"" type=""xsd:int""&gt;&lt;doc&gt;start&lt;/doc&gt;&lt;/param&gt;"&amp;IF(Controls!L29,"&lt;param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30" spans="1:9" ht="49.5" customHeight="1">
      <c r="A30" s="1" t="str">
        <f>"&lt;resource id="""&amp;Controls!B30&amp;""" "&amp;IF(0,"path=""{"&amp;Controls!B30&amp;"Path}""","")&amp;" wx:samplePath="""&amp;Controls!C30&amp;"""&gt;&lt;doc title="""&amp;Controls!$B30&amp;"""&gt;"&amp;Controls!P30&amp;"&lt;/doc&gt;"</f>
        <v>&lt;resource id="IPAddrList"  wx:samplePath="/edev/{id1}/ns/{id2}/addr"&gt;&lt;doc title="IPAddrList"&gt;List of IP Addresses&lt;/doc&gt;</v>
      </c>
      <c r="B30" s="1" t="str">
        <f>"&lt;method id="""&amp;Controls!D$1&amp;Controls!$B30&amp;""" name="""&amp;Controls!D$1&amp;""" wx:mode="""&amp;Controls!D30&amp;"""&gt;"&amp;IF(Controls!D30="E","&lt;response status=""400""/&gt;&lt;response status=""405""/&gt;",I30&amp;"&lt;response&gt;&lt;representation mediaType="""&amp;Var!$B$18&amp;""" element=""sep:"&amp;Controls!$W30&amp;"""/&gt;&lt;representation mediaType="""&amp;Var!$B$19&amp;""" element=""sep:"&amp;Controls!$W30&amp;"""/&gt;&lt;/response&gt;")&amp;"&lt;/method&gt;"</f>
        <v>&lt;method id="GETIPAddrList"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element="sep:IPAddrList"/&gt;&lt;representation mediaType="application/sep-exi" element="sep:IPAddrList"/&gt;&lt;/response&gt;&lt;/method&gt;</v>
      </c>
      <c r="C30" s="1" t="str">
        <f>"&lt;method id=""HEAD"&amp;Controls!$B30&amp;""" name=""HEAD"" wx:mode="""&amp;Controls!D30&amp;"""/&gt;"</f>
        <v>&lt;method id="HEADIPAddrList" name="HEAD" wx:mode="M"/&gt;</v>
      </c>
      <c r="D30" s="1" t="str">
        <f>"&lt;method id="""&amp;Controls!E$1&amp;Controls!$B30&amp;""" name="""&amp;Controls!E$1&amp;""" wx:mode="""&amp;Controls!E30&amp;"""&gt;&lt;request&gt;&lt;representation mediaType="""&amp;Var!$B$18&amp;""" element=""sep:"&amp;Controls!$V30&amp;"""/&gt;&lt;representation mediaType="""&amp;Var!$B$19&amp;""" element=""sep:"&amp;Controls!$V30&amp;"""/&gt;&lt;/request&gt;"&amp;IF(Controls!E30="E","&lt;response status=""400""/&gt;&lt;response status=""405""/&gt;","")&amp;"&lt;/method&gt;"</f>
        <v>&lt;method id="PUTIPAddrList" name="PUT" wx:mode="E"&gt;&lt;request&gt;&lt;representation mediaType="application/sep+xml" element="sep:IPAddr"/&gt;&lt;representation mediaType="application/sep-exi" element="sep:IPAddr"/&gt;&lt;/request&gt;&lt;response status="400"/&gt;&lt;response status="405"/&gt;&lt;/method&gt;</v>
      </c>
      <c r="E30" s="1" t="str">
        <f>"&lt;method id="""&amp;Controls!F$1&amp;Controls!$B30&amp;""" name="""&amp;Controls!F$1&amp;""" wx:mode="""&amp;Controls!F30&amp;"""&gt;"&amp;IF(Controls!B30="MirrorUsagePoint",Var!$B$21,"&lt;request&gt;&lt;representation mediaType="""&amp;Var!$B$18&amp;""" element=""sep:"&amp;Controls!$V30&amp;"""/&gt;&lt;representation mediaType="""&amp;Var!$B$19&amp;""" element=""sep:"&amp;Controls!$V30&amp;"""/&gt;&lt;/request&gt;")&amp;IF(Controls!F30="E","&lt;response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id="POSTIPAddrList" name="POST" wx:mode="O"&gt;&lt;request&gt;&lt;representation mediaType="application/sep+xml" element="sep:IPAddr"/&gt;&lt;representation mediaType="application/sep-exi" element="sep:IPAddr"/&gt;&lt;/request&gt;&lt;response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30" s="1" t="str">
        <f>"&lt;method id="""&amp;Controls!G$1&amp;Controls!$B30&amp;""" name="""&amp;Controls!G$1&amp;""" wx:mode="""&amp;Controls!G30&amp;"""&gt;"&amp;IF(Controls!G30="E","&lt;response status=""400""/&gt;&lt;response status=""405""/&gt;","&lt;response&gt;&lt;representation mediaType=""application/xml"" element=""sep:"&amp;Controls!$V30&amp;"""/&gt;&lt;/response&gt;")&amp;"&lt;/method&gt;"</f>
        <v>&lt;method id="DELETEIPAddrList" name="DELETE" wx:mode="E"&gt;&lt;response status="400"/&gt;&lt;response status="405"/&gt;&lt;/method&gt;</v>
      </c>
      <c r="G30" s="1" t="str">
        <f ca="1">IF(ISBLANK(Controls!B30),"",OFFSET(Var!B$11,Controls!O30,0)&amp;"&lt;/resource&gt;")</f>
        <v>&lt;wx:sampleParam name="id1" style="template" type="idType"/&gt;&lt;wx:sampleParam name="id2" style="template" type="idType"/&gt;&lt;/resource&gt;</v>
      </c>
      <c r="I30" s="6" t="str">
        <f>IF(Controls!K30,"&lt;request&gt;&lt;param name=""s"" style=""query"" type=""xsd:int""&gt;&lt;doc&gt;start&lt;/doc&gt;&lt;/param&gt;"&amp;IF(Controls!L30,"&lt;param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31" spans="1:9" ht="49.5" customHeight="1">
      <c r="A31" s="1" t="str">
        <f>"&lt;resource id="""&amp;Controls!B31&amp;""" "&amp;IF(0,"path=""{"&amp;Controls!B31&amp;"Path}""","")&amp;" wx:samplePath="""&amp;Controls!C31&amp;"""&gt;&lt;doc title="""&amp;Controls!$B31&amp;"""&gt;"&amp;Controls!P31&amp;"&lt;/doc&gt;"</f>
        <v>&lt;resource id="IPAddr"  wx:samplePath="/edev/{id1}/ns/{id2}/addr/{id3}"&gt;&lt;doc title="IPAddr"&gt;A specific IP Address&lt;/doc&gt;</v>
      </c>
      <c r="B31" s="1" t="str">
        <f>"&lt;method id="""&amp;Controls!D$1&amp;Controls!$B31&amp;""" name="""&amp;Controls!D$1&amp;""" wx:mode="""&amp;Controls!D31&amp;"""&gt;"&amp;IF(Controls!D31="E","&lt;response status=""400""/&gt;&lt;response status=""405""/&gt;",I31&amp;"&lt;response&gt;&lt;representation mediaType="""&amp;Var!$B$18&amp;""" element=""sep:"&amp;Controls!$W31&amp;"""/&gt;&lt;representation mediaType="""&amp;Var!$B$19&amp;""" element=""sep:"&amp;Controls!$W31&amp;"""/&gt;&lt;/response&gt;")&amp;"&lt;/method&gt;"</f>
        <v>&lt;method id="GETIPAddr" name="GET" wx:mode="M"&gt;&lt;response&gt;&lt;representation mediaType="application/sep+xml" element="sep:IPAddr"/&gt;&lt;representation mediaType="application/sep-exi" element="sep:IPAddr"/&gt;&lt;/response&gt;&lt;/method&gt;</v>
      </c>
      <c r="C31" s="1" t="str">
        <f>"&lt;method id=""HEAD"&amp;Controls!$B31&amp;""" name=""HEAD"" wx:mode="""&amp;Controls!D31&amp;"""/&gt;"</f>
        <v>&lt;method id="HEADIPAddr" name="HEAD" wx:mode="M"/&gt;</v>
      </c>
      <c r="D31" s="1" t="str">
        <f>"&lt;method id="""&amp;Controls!E$1&amp;Controls!$B31&amp;""" name="""&amp;Controls!E$1&amp;""" wx:mode="""&amp;Controls!E31&amp;"""&gt;&lt;request&gt;&lt;representation mediaType="""&amp;Var!$B$18&amp;""" element=""sep:"&amp;Controls!$V31&amp;"""/&gt;&lt;representation mediaType="""&amp;Var!$B$19&amp;""" element=""sep:"&amp;Controls!$V31&amp;"""/&gt;&lt;/request&gt;"&amp;IF(Controls!E31="E","&lt;response status=""400""/&gt;&lt;response status=""405""/&gt;","")&amp;"&lt;/method&gt;"</f>
        <v>&lt;method id="PUTIPAddr" name="PUT" wx:mode="O"&gt;&lt;request&gt;&lt;representation mediaType="application/sep+xml" element="sep:IPAddr"/&gt;&lt;representation mediaType="application/sep-exi" element="sep:IPAddr"/&gt;&lt;/request&gt;&lt;/method&gt;</v>
      </c>
      <c r="E31" s="1" t="str">
        <f>"&lt;method id="""&amp;Controls!F$1&amp;Controls!$B31&amp;""" name="""&amp;Controls!F$1&amp;""" wx:mode="""&amp;Controls!F31&amp;"""&gt;"&amp;IF(Controls!B31="MirrorUsagePoint",Var!$B$21,"&lt;request&gt;&lt;representation mediaType="""&amp;Var!$B$18&amp;""" element=""sep:"&amp;Controls!$V31&amp;"""/&gt;&lt;representation mediaType="""&amp;Var!$B$19&amp;""" element=""sep:"&amp;Controls!$V31&amp;"""/&gt;&lt;/request&gt;")&amp;IF(Controls!F31="E","&lt;response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id="POSTIPAddr" name="POST" wx:mode="E"&gt;&lt;request&gt;&lt;representation mediaType="application/sep+xml" element="sep:IPAddr"/&gt;&lt;representation mediaType="application/sep-exi" element="sep:IPAddr"/&gt;&lt;/request&gt;&lt;response status="400"/&gt;&lt;response status="405"/&gt;&lt;/method&gt;</v>
      </c>
      <c r="F31" s="1" t="str">
        <f>"&lt;method id="""&amp;Controls!G$1&amp;Controls!$B31&amp;""" name="""&amp;Controls!G$1&amp;""" wx:mode="""&amp;Controls!G31&amp;"""&gt;"&amp;IF(Controls!G31="E","&lt;response status=""400""/&gt;&lt;response status=""405""/&gt;","&lt;response&gt;&lt;representation mediaType=""application/xml"" element=""sep:"&amp;Controls!$V31&amp;"""/&gt;&lt;/response&gt;")&amp;"&lt;/method&gt;"</f>
        <v>&lt;method id="DELETEIPAddr" name="DELETE" wx:mode="O"&gt;&lt;response&gt;&lt;representation mediaType="application/xml" element="sep:IPAddr"/&gt;&lt;/response&gt;&lt;/method&gt;</v>
      </c>
      <c r="G31" s="1" t="str">
        <f ca="1">IF(ISBLANK(Controls!B31),"",OFFSET(Var!B$11,Controls!O31,0)&amp;"&lt;/resource&gt;")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31" s="6" t="str">
        <f>IF(Controls!K31,"&lt;request&gt;&lt;param name=""s"" style=""query"" type=""xsd:int""&gt;&lt;doc&gt;start&lt;/doc&gt;&lt;/param&gt;"&amp;IF(Controls!L31,"&lt;param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32" spans="1:9" ht="49.5" customHeight="1">
      <c r="A32" s="1" t="str">
        <f>"&lt;resource id="""&amp;Controls!B32&amp;""" "&amp;IF(0,"path=""{"&amp;Controls!B32&amp;"Path}""","")&amp;" wx:samplePath="""&amp;Controls!C32&amp;"""&gt;&lt;doc title="""&amp;Controls!$B32&amp;"""&gt;"&amp;Controls!P32&amp;"&lt;/doc&gt;"</f>
        <v>&lt;resource id="RPLInstanceList"  wx:samplePath="/edev/{id1}/ns/{id2}/addr/{id3}/rpl"&gt;&lt;doc title="RPLInstanceList"&gt;List of RPL instances that the IPAddr is a member &lt;/doc&gt;</v>
      </c>
      <c r="B32" s="1" t="str">
        <f>"&lt;method id="""&amp;Controls!D$1&amp;Controls!$B32&amp;""" name="""&amp;Controls!D$1&amp;""" wx:mode="""&amp;Controls!D32&amp;"""&gt;"&amp;IF(Controls!D32="E","&lt;response status=""400""/&gt;&lt;response status=""405""/&gt;",I32&amp;"&lt;response&gt;&lt;representation mediaType="""&amp;Var!$B$18&amp;""" element=""sep:"&amp;Controls!$W32&amp;"""/&gt;&lt;representation mediaType="""&amp;Var!$B$19&amp;""" element=""sep:"&amp;Controls!$W32&amp;"""/&gt;&lt;/response&gt;")&amp;"&lt;/method&gt;"</f>
        <v>&lt;method id="GETRPLInstanceList"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element="sep:RPLInstanceList"/&gt;&lt;representation mediaType="application/sep-exi" element="sep:RPLInstanceList"/&gt;&lt;/response&gt;&lt;/method&gt;</v>
      </c>
      <c r="C32" s="1" t="str">
        <f>"&lt;method id=""HEAD"&amp;Controls!$B32&amp;""" name=""HEAD"" wx:mode="""&amp;Controls!D32&amp;"""/&gt;"</f>
        <v>&lt;method id="HEADRPLInstanceList" name="HEAD" wx:mode="M"/&gt;</v>
      </c>
      <c r="D32" s="1" t="str">
        <f>"&lt;method id="""&amp;Controls!E$1&amp;Controls!$B32&amp;""" name="""&amp;Controls!E$1&amp;""" wx:mode="""&amp;Controls!E32&amp;"""&gt;&lt;request&gt;&lt;representation mediaType="""&amp;Var!$B$18&amp;""" element=""sep:"&amp;Controls!$V32&amp;"""/&gt;&lt;representation mediaType="""&amp;Var!$B$19&amp;""" element=""sep:"&amp;Controls!$V32&amp;"""/&gt;&lt;/request&gt;"&amp;IF(Controls!E32="E","&lt;response status=""400""/&gt;&lt;response status=""405""/&gt;","")&amp;"&lt;/method&gt;"</f>
        <v>&lt;method id="PUTRPLInstanceList" name="PUT" wx:mode="E"&gt;&lt;request&gt;&lt;representation mediaType="application/sep+xml" element="sep:RPLInstance"/&gt;&lt;representation mediaType="application/sep-exi" element="sep:RPLInstance"/&gt;&lt;/request&gt;&lt;response status="400"/&gt;&lt;response status="405"/&gt;&lt;/method&gt;</v>
      </c>
      <c r="E32" s="1" t="str">
        <f>"&lt;method id="""&amp;Controls!F$1&amp;Controls!$B32&amp;""" name="""&amp;Controls!F$1&amp;""" wx:mode="""&amp;Controls!F32&amp;"""&gt;"&amp;IF(Controls!B32="MirrorUsagePoint",Var!$B$21,"&lt;request&gt;&lt;representation mediaType="""&amp;Var!$B$18&amp;""" element=""sep:"&amp;Controls!$V32&amp;"""/&gt;&lt;representation mediaType="""&amp;Var!$B$19&amp;""" element=""sep:"&amp;Controls!$V32&amp;"""/&gt;&lt;/request&gt;")&amp;IF(Controls!F32="E","&lt;response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id="POSTRPLInstanceList" name="POST" wx:mode="O"&gt;&lt;request&gt;&lt;representation mediaType="application/sep+xml" element="sep:RPLInstance"/&gt;&lt;representation mediaType="application/sep-exi" element="sep:RPLInstance"/&gt;&lt;/request&gt;&lt;response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32" s="1" t="str">
        <f>"&lt;method id="""&amp;Controls!G$1&amp;Controls!$B32&amp;""" name="""&amp;Controls!G$1&amp;""" wx:mode="""&amp;Controls!G32&amp;"""&gt;"&amp;IF(Controls!G32="E","&lt;response status=""400""/&gt;&lt;response status=""405""/&gt;","&lt;response&gt;&lt;representation mediaType=""application/xml"" element=""sep:"&amp;Controls!$V32&amp;"""/&gt;&lt;/response&gt;")&amp;"&lt;/method&gt;"</f>
        <v>&lt;method id="DELETERPLInstanceList" name="DELETE" wx:mode="E"&gt;&lt;response status="400"/&gt;&lt;response status="405"/&gt;&lt;/method&gt;</v>
      </c>
      <c r="G32" s="1" t="str">
        <f ca="1">IF(ISBLANK(Controls!B32),"",OFFSET(Var!B$11,Controls!O32,0)&amp;"&lt;/resource&gt;")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32" s="6" t="str">
        <f>IF(Controls!K32,"&lt;request&gt;&lt;param name=""s"" style=""query"" type=""xsd:int""&gt;&lt;doc&gt;start&lt;/doc&gt;&lt;/param&gt;"&amp;IF(Controls!L32,"&lt;param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33" spans="1:9" ht="49.5" customHeight="1">
      <c r="A33" s="1" t="str">
        <f>"&lt;resource id="""&amp;Controls!B33&amp;""" "&amp;IF(0,"path=""{"&amp;Controls!B33&amp;"Path}""","")&amp;" wx:samplePath="""&amp;Controls!C33&amp;"""&gt;&lt;doc title="""&amp;Controls!$B33&amp;"""&gt;"&amp;Controls!P33&amp;"&lt;/doc&gt;"</f>
        <v>&lt;resource id="RPLInstance"  wx:samplePath="/edev/{id1}/ns/{id2}/addr/{id3}/rpl/{id4}"&gt;&lt;doc title="RPLInstance"&gt;A specific RPL Instance&lt;/doc&gt;</v>
      </c>
      <c r="B33" s="1" t="str">
        <f>"&lt;method id="""&amp;Controls!D$1&amp;Controls!$B33&amp;""" name="""&amp;Controls!D$1&amp;""" wx:mode="""&amp;Controls!D33&amp;"""&gt;"&amp;IF(Controls!D33="E","&lt;response status=""400""/&gt;&lt;response status=""405""/&gt;",I33&amp;"&lt;response&gt;&lt;representation mediaType="""&amp;Var!$B$18&amp;""" element=""sep:"&amp;Controls!$W33&amp;"""/&gt;&lt;representation mediaType="""&amp;Var!$B$19&amp;""" element=""sep:"&amp;Controls!$W33&amp;"""/&gt;&lt;/response&gt;")&amp;"&lt;/method&gt;"</f>
        <v>&lt;method id="GETRPLInstance" name="GET" wx:mode="M"&gt;&lt;response&gt;&lt;representation mediaType="application/sep+xml" element="sep:RPLInstance"/&gt;&lt;representation mediaType="application/sep-exi" element="sep:RPLInstance"/&gt;&lt;/response&gt;&lt;/method&gt;</v>
      </c>
      <c r="C33" s="1" t="str">
        <f>"&lt;method id=""HEAD"&amp;Controls!$B33&amp;""" name=""HEAD"" wx:mode="""&amp;Controls!D33&amp;"""/&gt;"</f>
        <v>&lt;method id="HEADRPLInstance" name="HEAD" wx:mode="M"/&gt;</v>
      </c>
      <c r="D33" s="1" t="str">
        <f>"&lt;method id="""&amp;Controls!E$1&amp;Controls!$B33&amp;""" name="""&amp;Controls!E$1&amp;""" wx:mode="""&amp;Controls!E33&amp;"""&gt;&lt;request&gt;&lt;representation mediaType="""&amp;Var!$B$18&amp;""" element=""sep:"&amp;Controls!$V33&amp;"""/&gt;&lt;representation mediaType="""&amp;Var!$B$19&amp;""" element=""sep:"&amp;Controls!$V33&amp;"""/&gt;&lt;/request&gt;"&amp;IF(Controls!E33="E","&lt;response status=""400""/&gt;&lt;response status=""405""/&gt;","")&amp;"&lt;/method&gt;"</f>
        <v>&lt;method id="PUTRPLInstance" name="PUT" wx:mode="O"&gt;&lt;request&gt;&lt;representation mediaType="application/sep+xml" element="sep:RPLInstance"/&gt;&lt;representation mediaType="application/sep-exi" element="sep:RPLInstance"/&gt;&lt;/request&gt;&lt;/method&gt;</v>
      </c>
      <c r="E33" s="1" t="str">
        <f>"&lt;method id="""&amp;Controls!F$1&amp;Controls!$B33&amp;""" name="""&amp;Controls!F$1&amp;""" wx:mode="""&amp;Controls!F33&amp;"""&gt;"&amp;IF(Controls!B33="MirrorUsagePoint",Var!$B$21,"&lt;request&gt;&lt;representation mediaType="""&amp;Var!$B$18&amp;""" element=""sep:"&amp;Controls!$V33&amp;"""/&gt;&lt;representation mediaType="""&amp;Var!$B$19&amp;""" element=""sep:"&amp;Controls!$V33&amp;"""/&gt;&lt;/request&gt;")&amp;IF(Controls!F33="E","&lt;response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id="POSTRPLInstance" name="POST" wx:mode="E"&gt;&lt;request&gt;&lt;representation mediaType="application/sep+xml" element="sep:RPLInstance"/&gt;&lt;representation mediaType="application/sep-exi" element="sep:RPLInstance"/&gt;&lt;/request&gt;&lt;response status="400"/&gt;&lt;response status="405"/&gt;&lt;/method&gt;</v>
      </c>
      <c r="F33" s="1" t="str">
        <f>"&lt;method id="""&amp;Controls!G$1&amp;Controls!$B33&amp;""" name="""&amp;Controls!G$1&amp;""" wx:mode="""&amp;Controls!G33&amp;"""&gt;"&amp;IF(Controls!G33="E","&lt;response status=""400""/&gt;&lt;response status=""405""/&gt;","&lt;response&gt;&lt;representation mediaType=""application/xml"" element=""sep:"&amp;Controls!$V33&amp;"""/&gt;&lt;/response&gt;")&amp;"&lt;/method&gt;"</f>
        <v>&lt;method id="DELETERPLInstance" name="DELETE" wx:mode="O"&gt;&lt;response&gt;&lt;representation mediaType="application/xml" element="sep:RPLInstance"/&gt;&lt;/response&gt;&lt;/method&gt;</v>
      </c>
      <c r="G33" s="1" t="str">
        <f ca="1">IF(ISBLANK(Controls!B33),"",OFFSET(Var!B$11,Controls!O33,0)&amp;"&lt;/resource&gt;")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type="idType"/&gt;&lt;/resource&gt;</v>
      </c>
      <c r="I33" s="6" t="str">
        <f>IF(Controls!K33,"&lt;request&gt;&lt;param name=""s"" style=""query"" type=""xsd:int""&gt;&lt;doc&gt;start&lt;/doc&gt;&lt;/param&gt;"&amp;IF(Controls!L33,"&lt;param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34" spans="1:9" ht="49.5" customHeight="1">
      <c r="A34" s="1" t="str">
        <f>"&lt;resource id="""&amp;Controls!B34&amp;""" "&amp;IF(0,"path=""{"&amp;Controls!B34&amp;"Path}""","")&amp;" wx:samplePath="""&amp;Controls!C34&amp;"""&gt;&lt;doc title="""&amp;Controls!$B34&amp;"""&gt;"&amp;Controls!P34&amp;"&lt;/doc&gt;"</f>
        <v>&lt;resource id="RPLSourceRoutesList"  wx:samplePath="/edev/{id1}/ns/{id2}/addr/{id3}/rpl/{id4}/srt"&gt;&lt;doc title="RPLSourceRoutesList"&gt;List of RPL source routes&lt;/doc&gt;</v>
      </c>
      <c r="B34" s="1" t="str">
        <f>"&lt;method id="""&amp;Controls!D$1&amp;Controls!$B34&amp;""" name="""&amp;Controls!D$1&amp;""" wx:mode="""&amp;Controls!D34&amp;"""&gt;"&amp;IF(Controls!D34="E","&lt;response status=""400""/&gt;&lt;response status=""405""/&gt;",I34&amp;"&lt;response&gt;&lt;representation mediaType="""&amp;Var!$B$18&amp;""" element=""sep:"&amp;Controls!$W34&amp;"""/&gt;&lt;representation mediaType="""&amp;Var!$B$19&amp;""" element=""sep:"&amp;Controls!$W34&amp;"""/&gt;&lt;/response&gt;")&amp;"&lt;/method&gt;"</f>
        <v>&lt;method id="GETRPLSourceRoutesList"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element="sep:RPLSourceRoutesList"/&gt;&lt;representation mediaType="application/sep-exi" element="sep:RPLSourceRoutesList"/&gt;&lt;/response&gt;&lt;/method&gt;</v>
      </c>
      <c r="C34" s="1" t="str">
        <f>"&lt;method id=""HEAD"&amp;Controls!$B34&amp;""" name=""HEAD"" wx:mode="""&amp;Controls!D34&amp;"""/&gt;"</f>
        <v>&lt;method id="HEADRPLSourceRoutesList" name="HEAD" wx:mode="M"/&gt;</v>
      </c>
      <c r="D34" s="1" t="str">
        <f>"&lt;method id="""&amp;Controls!E$1&amp;Controls!$B34&amp;""" name="""&amp;Controls!E$1&amp;""" wx:mode="""&amp;Controls!E34&amp;"""&gt;&lt;request&gt;&lt;representation mediaType="""&amp;Var!$B$18&amp;""" element=""sep:"&amp;Controls!$V34&amp;"""/&gt;&lt;representation mediaType="""&amp;Var!$B$19&amp;""" element=""sep:"&amp;Controls!$V34&amp;"""/&gt;&lt;/request&gt;"&amp;IF(Controls!E34="E","&lt;response status=""400""/&gt;&lt;response status=""405""/&gt;","")&amp;"&lt;/method&gt;"</f>
        <v>&lt;method id="PUTRPLSourceRoutesList" name="PUT" wx:mode="E"&gt;&lt;request&gt;&lt;representation mediaType="application/sep+xml" element="sep:RPLSourceRoutes"/&gt;&lt;representation mediaType="application/sep-exi" element="sep:RPLSourceRoutes"/&gt;&lt;/request&gt;&lt;response status="400"/&gt;&lt;response status="405"/&gt;&lt;/method&gt;</v>
      </c>
      <c r="E34" s="1" t="str">
        <f>"&lt;method id="""&amp;Controls!F$1&amp;Controls!$B34&amp;""" name="""&amp;Controls!F$1&amp;""" wx:mode="""&amp;Controls!F34&amp;"""&gt;"&amp;IF(Controls!B34="MirrorUsagePoint",Var!$B$21,"&lt;request&gt;&lt;representation mediaType="""&amp;Var!$B$18&amp;""" element=""sep:"&amp;Controls!$V34&amp;"""/&gt;&lt;representation mediaType="""&amp;Var!$B$19&amp;""" element=""sep:"&amp;Controls!$V34&amp;"""/&gt;&lt;/request&gt;")&amp;IF(Controls!F34="E","&lt;response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id="POSTRPLSourceRoutesList" name="POST" wx:mode="O"&gt;&lt;request&gt;&lt;representation mediaType="application/sep+xml" element="sep:RPLSourceRoutes"/&gt;&lt;representation mediaType="application/sep-exi" element="sep:RPLSourceRoutes"/&gt;&lt;/request&gt;&lt;response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34" s="1" t="str">
        <f>"&lt;method id="""&amp;Controls!G$1&amp;Controls!$B34&amp;""" name="""&amp;Controls!G$1&amp;""" wx:mode="""&amp;Controls!G34&amp;"""&gt;"&amp;IF(Controls!G34="E","&lt;response status=""400""/&gt;&lt;response status=""405""/&gt;","&lt;response&gt;&lt;representation mediaType=""application/xml"" element=""sep:"&amp;Controls!$V34&amp;"""/&gt;&lt;/response&gt;")&amp;"&lt;/method&gt;"</f>
        <v>&lt;method id="DELETERPLSourceRoutesList" name="DELETE" wx:mode="E"&gt;&lt;response status="400"/&gt;&lt;response status="405"/&gt;&lt;/method&gt;</v>
      </c>
      <c r="G34" s="1" t="str">
        <f ca="1">IF(ISBLANK(Controls!B34),"",OFFSET(Var!B$11,Controls!O34,0)&amp;"&lt;/resource&gt;")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type="idType"/&gt;&lt;/resource&gt;</v>
      </c>
      <c r="I34" s="6" t="str">
        <f>IF(Controls!K34,"&lt;request&gt;&lt;param name=""s"" style=""query"" type=""xsd:int""&gt;&lt;doc&gt;start&lt;/doc&gt;&lt;/param&gt;"&amp;IF(Controls!L34,"&lt;param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35" spans="1:9" ht="49.5" customHeight="1">
      <c r="A35" s="1" t="str">
        <f>"&lt;resource id="""&amp;Controls!B35&amp;""" "&amp;IF(0,"path=""{"&amp;Controls!B35&amp;"Path}""","")&amp;" wx:samplePath="""&amp;Controls!C35&amp;"""&gt;&lt;doc title="""&amp;Controls!$B35&amp;"""&gt;"&amp;Controls!P35&amp;"&lt;/doc&gt;"</f>
        <v>&lt;resource id="RPLSourceRoutes"  wx:samplePath="/edev/{id1}/ns/{id2}/addr/{id3}/rpl/{id4}/srt/{id5}"&gt;&lt;doc title="RPLSourceRoutes"&gt;A specific RPL source route&lt;/doc&gt;</v>
      </c>
      <c r="B35" s="1" t="str">
        <f>"&lt;method id="""&amp;Controls!D$1&amp;Controls!$B35&amp;""" name="""&amp;Controls!D$1&amp;""" wx:mode="""&amp;Controls!D35&amp;"""&gt;"&amp;IF(Controls!D35="E","&lt;response status=""400""/&gt;&lt;response status=""405""/&gt;",I35&amp;"&lt;response&gt;&lt;representation mediaType="""&amp;Var!$B$18&amp;""" element=""sep:"&amp;Controls!$W35&amp;"""/&gt;&lt;representation mediaType="""&amp;Var!$B$19&amp;""" element=""sep:"&amp;Controls!$W35&amp;"""/&gt;&lt;/response&gt;")&amp;"&lt;/method&gt;"</f>
        <v>&lt;method id="GETRPLSourceRoutes" name="GET" wx:mode="M"&gt;&lt;response&gt;&lt;representation mediaType="application/sep+xml" element="sep:RPLSourceRoutes"/&gt;&lt;representation mediaType="application/sep-exi" element="sep:RPLSourceRoutes"/&gt;&lt;/response&gt;&lt;/method&gt;</v>
      </c>
      <c r="C35" s="1" t="str">
        <f>"&lt;method id=""HEAD"&amp;Controls!$B35&amp;""" name=""HEAD"" wx:mode="""&amp;Controls!D35&amp;"""/&gt;"</f>
        <v>&lt;method id="HEADRPLSourceRoutes" name="HEAD" wx:mode="M"/&gt;</v>
      </c>
      <c r="D35" s="1" t="str">
        <f>"&lt;method id="""&amp;Controls!E$1&amp;Controls!$B35&amp;""" name="""&amp;Controls!E$1&amp;""" wx:mode="""&amp;Controls!E35&amp;"""&gt;&lt;request&gt;&lt;representation mediaType="""&amp;Var!$B$18&amp;""" element=""sep:"&amp;Controls!$V35&amp;"""/&gt;&lt;representation mediaType="""&amp;Var!$B$19&amp;""" element=""sep:"&amp;Controls!$V35&amp;"""/&gt;&lt;/request&gt;"&amp;IF(Controls!E35="E","&lt;response status=""400""/&gt;&lt;response status=""405""/&gt;","")&amp;"&lt;/method&gt;"</f>
        <v>&lt;method id="PUTRPLSourceRoutes" name="PUT" wx:mode="O"&gt;&lt;request&gt;&lt;representation mediaType="application/sep+xml" element="sep:RPLSourceRoutes"/&gt;&lt;representation mediaType="application/sep-exi" element="sep:RPLSourceRoutes"/&gt;&lt;/request&gt;&lt;/method&gt;</v>
      </c>
      <c r="E35" s="1" t="str">
        <f>"&lt;method id="""&amp;Controls!F$1&amp;Controls!$B35&amp;""" name="""&amp;Controls!F$1&amp;""" wx:mode="""&amp;Controls!F35&amp;"""&gt;"&amp;IF(Controls!B35="MirrorUsagePoint",Var!$B$21,"&lt;request&gt;&lt;representation mediaType="""&amp;Var!$B$18&amp;""" element=""sep:"&amp;Controls!$V35&amp;"""/&gt;&lt;representation mediaType="""&amp;Var!$B$19&amp;""" element=""sep:"&amp;Controls!$V35&amp;"""/&gt;&lt;/request&gt;")&amp;IF(Controls!F35="E","&lt;response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id="POSTRPLSourceRoutes" name="POST" wx:mode="E"&gt;&lt;request&gt;&lt;representation mediaType="application/sep+xml" element="sep:RPLSourceRoutes"/&gt;&lt;representation mediaType="application/sep-exi" element="sep:RPLSourceRoutes"/&gt;&lt;/request&gt;&lt;response status="400"/&gt;&lt;response status="405"/&gt;&lt;/method&gt;</v>
      </c>
      <c r="F35" s="1" t="str">
        <f>"&lt;method id="""&amp;Controls!G$1&amp;Controls!$B35&amp;""" name="""&amp;Controls!G$1&amp;""" wx:mode="""&amp;Controls!G35&amp;"""&gt;"&amp;IF(Controls!G35="E","&lt;response status=""400""/&gt;&lt;response status=""405""/&gt;","&lt;response&gt;&lt;representation mediaType=""application/xml"" element=""sep:"&amp;Controls!$V35&amp;"""/&gt;&lt;/response&gt;")&amp;"&lt;/method&gt;"</f>
        <v>&lt;method id="DELETERPLSourceRoutes" name="DELETE" wx:mode="O"&gt;&lt;response&gt;&lt;representation mediaType="application/xml" element="sep:RPLSourceRoutes"/&gt;&lt;/response&gt;&lt;/method&gt;</v>
      </c>
      <c r="G35" s="1" t="str">
        <f ca="1">IF(ISBLANK(Controls!B35),"",OFFSET(Var!B$11,Controls!O35,0)&amp;"&lt;/resource&gt;")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type="idType"/&gt;&lt;wx:sampleParam name="id5" style="template" type="idType"/&gt;&lt;/resource&gt;</v>
      </c>
      <c r="I35" s="6" t="str">
        <f>IF(Controls!K35,"&lt;request&gt;&lt;param name=""s"" style=""query"" type=""xsd:int""&gt;&lt;doc&gt;start&lt;/doc&gt;&lt;/param&gt;"&amp;IF(Controls!L35,"&lt;param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36" spans="1:9" ht="49.5" customHeight="1">
      <c r="A36" s="1" t="str">
        <f>"&lt;resource id="""&amp;Controls!B36&amp;""" "&amp;IF(0,"path=""{"&amp;Controls!B36&amp;"Path}""","")&amp;" wx:samplePath="""&amp;Controls!C36&amp;"""&gt;&lt;doc title="""&amp;Controls!$B36&amp;"""&gt;"&amp;Controls!P36&amp;"&lt;/doc&gt;"</f>
        <v>&lt;resource id="LLInterfaceList"  wx:samplePath="/edev/{id1}/ns/{id2}/ll"&gt;&lt;doc title="LLInterfaceList"&gt;List of Link Layer Interfaces&lt;/doc&gt;</v>
      </c>
      <c r="B36" s="1" t="str">
        <f>"&lt;method id="""&amp;Controls!D$1&amp;Controls!$B36&amp;""" name="""&amp;Controls!D$1&amp;""" wx:mode="""&amp;Controls!D36&amp;"""&gt;"&amp;IF(Controls!D36="E","&lt;response status=""400""/&gt;&lt;response status=""405""/&gt;",I36&amp;"&lt;response&gt;&lt;representation mediaType="""&amp;Var!$B$18&amp;""" element=""sep:"&amp;Controls!$W36&amp;"""/&gt;&lt;representation mediaType="""&amp;Var!$B$19&amp;""" element=""sep:"&amp;Controls!$W36&amp;"""/&gt;&lt;/response&gt;")&amp;"&lt;/method&gt;"</f>
        <v>&lt;method id="GETLLInterfaceList"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element="sep:LLInterfaceList"/&gt;&lt;representation mediaType="application/sep-exi" element="sep:LLInterfaceList"/&gt;&lt;/response&gt;&lt;/method&gt;</v>
      </c>
      <c r="C36" s="1" t="str">
        <f>"&lt;method id=""HEAD"&amp;Controls!$B36&amp;""" name=""HEAD"" wx:mode="""&amp;Controls!D36&amp;"""/&gt;"</f>
        <v>&lt;method id="HEADLLInterfaceList" name="HEAD" wx:mode="M"/&gt;</v>
      </c>
      <c r="D36" s="1" t="str">
        <f>"&lt;method id="""&amp;Controls!E$1&amp;Controls!$B36&amp;""" name="""&amp;Controls!E$1&amp;""" wx:mode="""&amp;Controls!E36&amp;"""&gt;&lt;request&gt;&lt;representation mediaType="""&amp;Var!$B$18&amp;""" element=""sep:"&amp;Controls!$V36&amp;"""/&gt;&lt;representation mediaType="""&amp;Var!$B$19&amp;""" element=""sep:"&amp;Controls!$V36&amp;"""/&gt;&lt;/request&gt;"&amp;IF(Controls!E36="E","&lt;response status=""400""/&gt;&lt;response status=""405""/&gt;","")&amp;"&lt;/method&gt;"</f>
        <v>&lt;method id="PUTLLInterfaceList" name="PUT" wx:mode="E"&gt;&lt;request&gt;&lt;representation mediaType="application/sep+xml" element="sep:LLInterface"/&gt;&lt;representation mediaType="application/sep-exi" element="sep:LLInterface"/&gt;&lt;/request&gt;&lt;response status="400"/&gt;&lt;response status="405"/&gt;&lt;/method&gt;</v>
      </c>
      <c r="E36" s="1" t="str">
        <f>"&lt;method id="""&amp;Controls!F$1&amp;Controls!$B36&amp;""" name="""&amp;Controls!F$1&amp;""" wx:mode="""&amp;Controls!F36&amp;"""&gt;"&amp;IF(Controls!B36="MirrorUsagePoint",Var!$B$21,"&lt;request&gt;&lt;representation mediaType="""&amp;Var!$B$18&amp;""" element=""sep:"&amp;Controls!$V36&amp;"""/&gt;&lt;representation mediaType="""&amp;Var!$B$19&amp;""" element=""sep:"&amp;Controls!$V36&amp;"""/&gt;&lt;/request&gt;")&amp;IF(Controls!F36="E","&lt;response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id="POSTLLInterfaceList" name="POST" wx:mode="O"&gt;&lt;request&gt;&lt;representation mediaType="application/sep+xml" element="sep:LLInterface"/&gt;&lt;representation mediaType="application/sep-exi" element="sep:LLInterface"/&gt;&lt;/request&gt;&lt;response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36" s="1" t="str">
        <f>"&lt;method id="""&amp;Controls!G$1&amp;Controls!$B36&amp;""" name="""&amp;Controls!G$1&amp;""" wx:mode="""&amp;Controls!G36&amp;"""&gt;"&amp;IF(Controls!G36="E","&lt;response status=""400""/&gt;&lt;response status=""405""/&gt;","&lt;response&gt;&lt;representation mediaType=""application/xml"" element=""sep:"&amp;Controls!$V36&amp;"""/&gt;&lt;/response&gt;")&amp;"&lt;/method&gt;"</f>
        <v>&lt;method id="DELETELLInterfaceList" name="DELETE" wx:mode="E"&gt;&lt;response status="400"/&gt;&lt;response status="405"/&gt;&lt;/method&gt;</v>
      </c>
      <c r="G36" s="1" t="str">
        <f ca="1">IF(ISBLANK(Controls!B36),"",OFFSET(Var!B$11,Controls!O36,0)&amp;"&lt;/resource&gt;")</f>
        <v>&lt;wx:sampleParam name="id1" style="template" type="idType"/&gt;&lt;wx:sampleParam name="id2" style="template" type="idType"/&gt;&lt;/resource&gt;</v>
      </c>
      <c r="I36" s="6" t="str">
        <f>IF(Controls!K36,"&lt;request&gt;&lt;param name=""s"" style=""query"" type=""xsd:int""&gt;&lt;doc&gt;start&lt;/doc&gt;&lt;/param&gt;"&amp;IF(Controls!L36,"&lt;param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37" spans="1:9" ht="49.5" customHeight="1">
      <c r="A37" s="1" t="str">
        <f>"&lt;resource id="""&amp;Controls!B37&amp;""" "&amp;IF(0,"path=""{"&amp;Controls!B37&amp;"Path}""","")&amp;" wx:samplePath="""&amp;Controls!C37&amp;"""&gt;&lt;doc title="""&amp;Controls!$B37&amp;"""&gt;"&amp;Controls!P37&amp;"&lt;/doc&gt;"</f>
        <v>&lt;resource id="LLInterface"  wx:samplePath="/edev/{id1}/ns/{id2}/ll/{id3}"&gt;&lt;doc title="LLInterface"&gt;A specific Link Layer Interface&lt;/doc&gt;</v>
      </c>
      <c r="B37" s="1" t="str">
        <f>"&lt;method id="""&amp;Controls!D$1&amp;Controls!$B37&amp;""" name="""&amp;Controls!D$1&amp;""" wx:mode="""&amp;Controls!D37&amp;"""&gt;"&amp;IF(Controls!D37="E","&lt;response status=""400""/&gt;&lt;response status=""405""/&gt;",I37&amp;"&lt;response&gt;&lt;representation mediaType="""&amp;Var!$B$18&amp;""" element=""sep:"&amp;Controls!$W37&amp;"""/&gt;&lt;representation mediaType="""&amp;Var!$B$19&amp;""" element=""sep:"&amp;Controls!$W37&amp;"""/&gt;&lt;/response&gt;")&amp;"&lt;/method&gt;"</f>
        <v>&lt;method id="GETLLInterface" name="GET" wx:mode="M"&gt;&lt;response&gt;&lt;representation mediaType="application/sep+xml" element="sep:LLInterface"/&gt;&lt;representation mediaType="application/sep-exi" element="sep:LLInterface"/&gt;&lt;/response&gt;&lt;/method&gt;</v>
      </c>
      <c r="C37" s="1" t="str">
        <f>"&lt;method id=""HEAD"&amp;Controls!$B37&amp;""" name=""HEAD"" wx:mode="""&amp;Controls!D37&amp;"""/&gt;"</f>
        <v>&lt;method id="HEADLLInterface" name="HEAD" wx:mode="M"/&gt;</v>
      </c>
      <c r="D37" s="1" t="str">
        <f>"&lt;method id="""&amp;Controls!E$1&amp;Controls!$B37&amp;""" name="""&amp;Controls!E$1&amp;""" wx:mode="""&amp;Controls!E37&amp;"""&gt;&lt;request&gt;&lt;representation mediaType="""&amp;Var!$B$18&amp;""" element=""sep:"&amp;Controls!$V37&amp;"""/&gt;&lt;representation mediaType="""&amp;Var!$B$19&amp;""" element=""sep:"&amp;Controls!$V37&amp;"""/&gt;&lt;/request&gt;"&amp;IF(Controls!E37="E","&lt;response status=""400""/&gt;&lt;response status=""405""/&gt;","")&amp;"&lt;/method&gt;"</f>
        <v>&lt;method id="PUTLLInterface" name="PUT" wx:mode="O"&gt;&lt;request&gt;&lt;representation mediaType="application/sep+xml" element="sep:LLInterface"/&gt;&lt;representation mediaType="application/sep-exi" element="sep:LLInterface"/&gt;&lt;/request&gt;&lt;/method&gt;</v>
      </c>
      <c r="E37" s="1" t="str">
        <f>"&lt;method id="""&amp;Controls!F$1&amp;Controls!$B37&amp;""" name="""&amp;Controls!F$1&amp;""" wx:mode="""&amp;Controls!F37&amp;"""&gt;"&amp;IF(Controls!B37="MirrorUsagePoint",Var!$B$21,"&lt;request&gt;&lt;representation mediaType="""&amp;Var!$B$18&amp;""" element=""sep:"&amp;Controls!$V37&amp;"""/&gt;&lt;representation mediaType="""&amp;Var!$B$19&amp;""" element=""sep:"&amp;Controls!$V37&amp;"""/&gt;&lt;/request&gt;")&amp;IF(Controls!F37="E","&lt;response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id="POSTLLInterface" name="POST" wx:mode="E"&gt;&lt;request&gt;&lt;representation mediaType="application/sep+xml" element="sep:LLInterface"/&gt;&lt;representation mediaType="application/sep-exi" element="sep:LLInterface"/&gt;&lt;/request&gt;&lt;response status="400"/&gt;&lt;response status="405"/&gt;&lt;/method&gt;</v>
      </c>
      <c r="F37" s="1" t="str">
        <f>"&lt;method id="""&amp;Controls!G$1&amp;Controls!$B37&amp;""" name="""&amp;Controls!G$1&amp;""" wx:mode="""&amp;Controls!G37&amp;"""&gt;"&amp;IF(Controls!G37="E","&lt;response status=""400""/&gt;&lt;response status=""405""/&gt;","&lt;response&gt;&lt;representation mediaType=""application/xml"" element=""sep:"&amp;Controls!$V37&amp;"""/&gt;&lt;/response&gt;")&amp;"&lt;/method&gt;"</f>
        <v>&lt;method id="DELETELLInterface" name="DELETE" wx:mode="O"&gt;&lt;response&gt;&lt;representation mediaType="application/xml" element="sep:LLInterface"/&gt;&lt;/response&gt;&lt;/method&gt;</v>
      </c>
      <c r="G37" s="1" t="str">
        <f ca="1">IF(ISBLANK(Controls!B37),"",OFFSET(Var!B$11,Controls!O37,0)&amp;"&lt;/resource&gt;")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37" s="6" t="str">
        <f>IF(Controls!K37,"&lt;request&gt;&lt;param name=""s"" style=""query"" type=""xsd:int""&gt;&lt;doc&gt;start&lt;/doc&gt;&lt;/param&gt;"&amp;IF(Controls!L37,"&lt;param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38" spans="1:9" ht="49.5" customHeight="1">
      <c r="A38" s="1" t="str">
        <f>"&lt;resource id="""&amp;Controls!B38&amp;""" "&amp;IF(0,"path=""{"&amp;Controls!B38&amp;"Path}""","")&amp;" wx:samplePath="""&amp;Controls!C38&amp;"""&gt;&lt;doc title="""&amp;Controls!$B38&amp;"""&gt;"&amp;Controls!P38&amp;"&lt;/doc&gt;"</f>
        <v>&lt;resource id="NeighborList"  wx:samplePath="/edev/{id1}/ns/{id2}/ll/{id3}/nbh"&gt;&lt;doc title="NeighborList"&gt;List of 802.15.4 neighbors&lt;/doc&gt;</v>
      </c>
      <c r="B38" s="1" t="str">
        <f>"&lt;method id="""&amp;Controls!D$1&amp;Controls!$B38&amp;""" name="""&amp;Controls!D$1&amp;""" wx:mode="""&amp;Controls!D38&amp;"""&gt;"&amp;IF(Controls!D38="E","&lt;response status=""400""/&gt;&lt;response status=""405""/&gt;",I38&amp;"&lt;response&gt;&lt;representation mediaType="""&amp;Var!$B$18&amp;""" element=""sep:"&amp;Controls!$W38&amp;"""/&gt;&lt;representation mediaType="""&amp;Var!$B$19&amp;""" element=""sep:"&amp;Controls!$W38&amp;"""/&gt;&lt;/response&gt;")&amp;"&lt;/method&gt;"</f>
        <v>&lt;method id="GETNeighborList"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element="sep:NeighborList"/&gt;&lt;representation mediaType="application/sep-exi" element="sep:NeighborList"/&gt;&lt;/response&gt;&lt;/method&gt;</v>
      </c>
      <c r="C38" s="1" t="str">
        <f>"&lt;method id=""HEAD"&amp;Controls!$B38&amp;""" name=""HEAD"" wx:mode="""&amp;Controls!D38&amp;"""/&gt;"</f>
        <v>&lt;method id="HEADNeighborList" name="HEAD" wx:mode="M"/&gt;</v>
      </c>
      <c r="D38" s="1" t="str">
        <f>"&lt;method id="""&amp;Controls!E$1&amp;Controls!$B38&amp;""" name="""&amp;Controls!E$1&amp;""" wx:mode="""&amp;Controls!E38&amp;"""&gt;&lt;request&gt;&lt;representation mediaType="""&amp;Var!$B$18&amp;""" element=""sep:"&amp;Controls!$V38&amp;"""/&gt;&lt;representation mediaType="""&amp;Var!$B$19&amp;""" element=""sep:"&amp;Controls!$V38&amp;"""/&gt;&lt;/request&gt;"&amp;IF(Controls!E38="E","&lt;response status=""400""/&gt;&lt;response status=""405""/&gt;","")&amp;"&lt;/method&gt;"</f>
        <v>&lt;method id="PUTNeighborList" name="PUT" wx:mode="E"&gt;&lt;request&gt;&lt;representation mediaType="application/sep+xml" element="sep:Neighbor"/&gt;&lt;representation mediaType="application/sep-exi" element="sep:Neighbor"/&gt;&lt;/request&gt;&lt;response status="400"/&gt;&lt;response status="405"/&gt;&lt;/method&gt;</v>
      </c>
      <c r="E38" s="1" t="str">
        <f>"&lt;method id="""&amp;Controls!F$1&amp;Controls!$B38&amp;""" name="""&amp;Controls!F$1&amp;""" wx:mode="""&amp;Controls!F38&amp;"""&gt;"&amp;IF(Controls!B38="MirrorUsagePoint",Var!$B$21,"&lt;request&gt;&lt;representation mediaType="""&amp;Var!$B$18&amp;""" element=""sep:"&amp;Controls!$V38&amp;"""/&gt;&lt;representation mediaType="""&amp;Var!$B$19&amp;""" element=""sep:"&amp;Controls!$V38&amp;"""/&gt;&lt;/request&gt;")&amp;IF(Controls!F38="E","&lt;response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id="POSTNeighborList" name="POST" wx:mode="O"&gt;&lt;request&gt;&lt;representation mediaType="application/sep+xml" element="sep:Neighbor"/&gt;&lt;representation mediaType="application/sep-exi" element="sep:Neighbor"/&gt;&lt;/request&gt;&lt;response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38" s="1" t="str">
        <f>"&lt;method id="""&amp;Controls!G$1&amp;Controls!$B38&amp;""" name="""&amp;Controls!G$1&amp;""" wx:mode="""&amp;Controls!G38&amp;"""&gt;"&amp;IF(Controls!G38="E","&lt;response status=""400""/&gt;&lt;response status=""405""/&gt;","&lt;response&gt;&lt;representation mediaType=""application/xml"" element=""sep:"&amp;Controls!$V38&amp;"""/&gt;&lt;/response&gt;")&amp;"&lt;/method&gt;"</f>
        <v>&lt;method id="DELETENeighborList" name="DELETE" wx:mode="E"&gt;&lt;response status="400"/&gt;&lt;response status="405"/&gt;&lt;/method&gt;</v>
      </c>
      <c r="G38" s="1" t="str">
        <f ca="1">IF(ISBLANK(Controls!B38),"",OFFSET(Var!B$11,Controls!O38,0)&amp;"&lt;/resource&gt;")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38" s="6" t="str">
        <f>IF(Controls!K38,"&lt;request&gt;&lt;param name=""s"" style=""query"" type=""xsd:int""&gt;&lt;doc&gt;start&lt;/doc&gt;&lt;/param&gt;"&amp;IF(Controls!L38,"&lt;param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39" spans="1:9" ht="49.5" customHeight="1">
      <c r="A39" s="1" t="str">
        <f>"&lt;resource id="""&amp;Controls!B39&amp;""" "&amp;IF(0,"path=""{"&amp;Controls!B39&amp;"Path}""","")&amp;" wx:samplePath="""&amp;Controls!C39&amp;"""&gt;&lt;doc title="""&amp;Controls!$B39&amp;"""&gt;"&amp;Controls!P39&amp;"&lt;/doc&gt;"</f>
        <v>&lt;resource id="Neighbor"  wx:samplePath="/edev/{id1}/ns/{id2}/ll/{id3}/nbh/{id4}"&gt;&lt;doc title="Neighbor"&gt;A specific 802.15.4 neighbor&lt;/doc&gt;</v>
      </c>
      <c r="B39" s="1" t="str">
        <f>"&lt;method id="""&amp;Controls!D$1&amp;Controls!$B39&amp;""" name="""&amp;Controls!D$1&amp;""" wx:mode="""&amp;Controls!D39&amp;"""&gt;"&amp;IF(Controls!D39="E","&lt;response status=""400""/&gt;&lt;response status=""405""/&gt;",I39&amp;"&lt;response&gt;&lt;representation mediaType="""&amp;Var!$B$18&amp;""" element=""sep:"&amp;Controls!$W39&amp;"""/&gt;&lt;representation mediaType="""&amp;Var!$B$19&amp;""" element=""sep:"&amp;Controls!$W39&amp;"""/&gt;&lt;/response&gt;")&amp;"&lt;/method&gt;"</f>
        <v>&lt;method id="GETNeighbor" name="GET" wx:mode="M"&gt;&lt;response&gt;&lt;representation mediaType="application/sep+xml" element="sep:Neighbor"/&gt;&lt;representation mediaType="application/sep-exi" element="sep:Neighbor"/&gt;&lt;/response&gt;&lt;/method&gt;</v>
      </c>
      <c r="C39" s="1" t="str">
        <f>"&lt;method id=""HEAD"&amp;Controls!$B39&amp;""" name=""HEAD"" wx:mode="""&amp;Controls!D39&amp;"""/&gt;"</f>
        <v>&lt;method id="HEADNeighbor" name="HEAD" wx:mode="M"/&gt;</v>
      </c>
      <c r="D39" s="1" t="str">
        <f>"&lt;method id="""&amp;Controls!E$1&amp;Controls!$B39&amp;""" name="""&amp;Controls!E$1&amp;""" wx:mode="""&amp;Controls!E39&amp;"""&gt;&lt;request&gt;&lt;representation mediaType="""&amp;Var!$B$18&amp;""" element=""sep:"&amp;Controls!$V39&amp;"""/&gt;&lt;representation mediaType="""&amp;Var!$B$19&amp;""" element=""sep:"&amp;Controls!$V39&amp;"""/&gt;&lt;/request&gt;"&amp;IF(Controls!E39="E","&lt;response status=""400""/&gt;&lt;response status=""405""/&gt;","")&amp;"&lt;/method&gt;"</f>
        <v>&lt;method id="PUTNeighbor" name="PUT" wx:mode="O"&gt;&lt;request&gt;&lt;representation mediaType="application/sep+xml" element="sep:Neighbor"/&gt;&lt;representation mediaType="application/sep-exi" element="sep:Neighbor"/&gt;&lt;/request&gt;&lt;/method&gt;</v>
      </c>
      <c r="E39" s="1" t="str">
        <f>"&lt;method id="""&amp;Controls!F$1&amp;Controls!$B39&amp;""" name="""&amp;Controls!F$1&amp;""" wx:mode="""&amp;Controls!F39&amp;"""&gt;"&amp;IF(Controls!B39="MirrorUsagePoint",Var!$B$21,"&lt;request&gt;&lt;representation mediaType="""&amp;Var!$B$18&amp;""" element=""sep:"&amp;Controls!$V39&amp;"""/&gt;&lt;representation mediaType="""&amp;Var!$B$19&amp;""" element=""sep:"&amp;Controls!$V39&amp;"""/&gt;&lt;/request&gt;")&amp;IF(Controls!F39="E","&lt;response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id="POSTNeighbor" name="POST" wx:mode="E"&gt;&lt;request&gt;&lt;representation mediaType="application/sep+xml" element="sep:Neighbor"/&gt;&lt;representation mediaType="application/sep-exi" element="sep:Neighbor"/&gt;&lt;/request&gt;&lt;response status="400"/&gt;&lt;response status="405"/&gt;&lt;/method&gt;</v>
      </c>
      <c r="F39" s="1" t="str">
        <f>"&lt;method id="""&amp;Controls!G$1&amp;Controls!$B39&amp;""" name="""&amp;Controls!G$1&amp;""" wx:mode="""&amp;Controls!G39&amp;"""&gt;"&amp;IF(Controls!G39="E","&lt;response status=""400""/&gt;&lt;response status=""405""/&gt;","&lt;response&gt;&lt;representation mediaType=""application/xml"" element=""sep:"&amp;Controls!$V39&amp;"""/&gt;&lt;/response&gt;")&amp;"&lt;/method&gt;"</f>
        <v>&lt;method id="DELETENeighbor" name="DELETE" wx:mode="O"&gt;&lt;response&gt;&lt;representation mediaType="application/xml" element="sep:Neighbor"/&gt;&lt;/response&gt;&lt;/method&gt;</v>
      </c>
      <c r="G39" s="1" t="str">
        <f ca="1">IF(ISBLANK(Controls!B39),"",OFFSET(Var!B$11,Controls!O39,0)&amp;"&lt;/resource&gt;")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type="idType"/&gt;&lt;/resource&gt;</v>
      </c>
      <c r="I39" s="6" t="str">
        <f>IF(Controls!K39,"&lt;request&gt;&lt;param name=""s"" style=""query"" type=""xsd:int""&gt;&lt;doc&gt;start&lt;/doc&gt;&lt;/param&gt;"&amp;IF(Controls!L39,"&lt;param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0" spans="1:9" ht="49.5" customHeight="1">
      <c r="A40" s="1" t="str">
        <f>"&lt;resource id="""&amp;Controls!B40&amp;""" "&amp;IF(0,"path=""{"&amp;Controls!B40&amp;"Path}""","")&amp;" wx:samplePath="""&amp;Controls!C40&amp;"""&gt;&lt;doc title="""&amp;Controls!$B40&amp;"""&gt;"&amp;Controls!P40&amp;"&lt;/doc&gt;"</f>
        <v>&lt;resource id="LogEventList"  wx:samplePath="/edev/{id1}/lel"&gt;&lt;doc title="LogEventList"&gt;A List of LogEvent instances.&lt;/doc&gt;</v>
      </c>
      <c r="B40" s="1" t="str">
        <f>"&lt;method id="""&amp;Controls!D$1&amp;Controls!$B40&amp;""" name="""&amp;Controls!D$1&amp;""" wx:mode="""&amp;Controls!D40&amp;"""&gt;"&amp;IF(Controls!D40="E","&lt;response status=""400""/&gt;&lt;response status=""405""/&gt;",I40&amp;"&lt;response&gt;&lt;representation mediaType="""&amp;Var!$B$18&amp;""" element=""sep:"&amp;Controls!$W40&amp;"""/&gt;&lt;representation mediaType="""&amp;Var!$B$19&amp;""" element=""sep:"&amp;Controls!$W40&amp;"""/&gt;&lt;/response&gt;")&amp;"&lt;/method&gt;"</f>
        <v>&lt;method id="GETLogEventList"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element="sep:LogEventList"/&gt;&lt;representation mediaType="application/sep-exi" element="sep:LogEventList"/&gt;&lt;/response&gt;&lt;/method&gt;</v>
      </c>
      <c r="C40" s="1" t="str">
        <f>"&lt;method id=""HEAD"&amp;Controls!$B40&amp;""" name=""HEAD"" wx:mode="""&amp;Controls!D40&amp;"""/&gt;"</f>
        <v>&lt;method id="HEADLogEventList" name="HEAD" wx:mode="M"/&gt;</v>
      </c>
      <c r="D40" s="1" t="str">
        <f>"&lt;method id="""&amp;Controls!E$1&amp;Controls!$B40&amp;""" name="""&amp;Controls!E$1&amp;""" wx:mode="""&amp;Controls!E40&amp;"""&gt;&lt;request&gt;&lt;representation mediaType="""&amp;Var!$B$18&amp;""" element=""sep:"&amp;Controls!$V40&amp;"""/&gt;&lt;representation mediaType="""&amp;Var!$B$19&amp;""" element=""sep:"&amp;Controls!$V40&amp;"""/&gt;&lt;/request&gt;"&amp;IF(Controls!E40="E","&lt;response status=""400""/&gt;&lt;response status=""405""/&gt;","")&amp;"&lt;/method&gt;"</f>
        <v>&lt;method id="PUTLogEventList" name="PUT" wx:mode="E"&gt;&lt;request&gt;&lt;representation mediaType="application/sep+xml" element="sep:LogEvent"/&gt;&lt;representation mediaType="application/sep-exi" element="sep:LogEvent"/&gt;&lt;/request&gt;&lt;response status="400"/&gt;&lt;response status="405"/&gt;&lt;/method&gt;</v>
      </c>
      <c r="E40" s="1" t="str">
        <f>"&lt;method id="""&amp;Controls!F$1&amp;Controls!$B40&amp;""" name="""&amp;Controls!F$1&amp;""" wx:mode="""&amp;Controls!F40&amp;"""&gt;"&amp;IF(Controls!B40="MirrorUsagePoint",Var!$B$21,"&lt;request&gt;&lt;representation mediaType="""&amp;Var!$B$18&amp;""" element=""sep:"&amp;Controls!$V40&amp;"""/&gt;&lt;representation mediaType="""&amp;Var!$B$19&amp;""" element=""sep:"&amp;Controls!$V40&amp;"""/&gt;&lt;/request&gt;")&amp;IF(Controls!F40="E","&lt;response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id="POSTLogEventList" name="POST" wx:mode="M"&gt;&lt;request&gt;&lt;representation mediaType="application/sep+xml" element="sep:LogEvent"/&gt;&lt;representation mediaType="application/sep-exi" element="sep:LogEvent"/&gt;&lt;/request&gt;&lt;response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40" s="1" t="str">
        <f>"&lt;method id="""&amp;Controls!G$1&amp;Controls!$B40&amp;""" name="""&amp;Controls!G$1&amp;""" wx:mode="""&amp;Controls!G40&amp;"""&gt;"&amp;IF(Controls!G40="E","&lt;response status=""400""/&gt;&lt;response status=""405""/&gt;","&lt;response&gt;&lt;representation mediaType=""application/xml"" element=""sep:"&amp;Controls!$V40&amp;"""/&gt;&lt;/response&gt;")&amp;"&lt;/method&gt;"</f>
        <v>&lt;method id="DELETELogEventList" name="DELETE" wx:mode="E"&gt;&lt;response status="400"/&gt;&lt;response status="405"/&gt;&lt;/method&gt;</v>
      </c>
      <c r="G40" s="1" t="str">
        <f ca="1">IF(ISBLANK(Controls!B40),"",OFFSET(Var!B$11,Controls!O40,0)&amp;"&lt;/resource&gt;")</f>
        <v>&lt;wx:sampleParam name="id1" style="template" type="idType"/&gt;&lt;/resource&gt;</v>
      </c>
      <c r="I40" s="6" t="str">
        <f>IF(Controls!K40,"&lt;request&gt;&lt;param name=""s"" style=""query"" type=""xsd:int""&gt;&lt;doc&gt;start&lt;/doc&gt;&lt;/param&gt;"&amp;IF(Controls!L40,"&lt;param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41" spans="1:9" ht="49.5" customHeight="1">
      <c r="A41" s="1" t="str">
        <f>"&lt;resource id="""&amp;Controls!B41&amp;""" "&amp;IF(0,"path=""{"&amp;Controls!B41&amp;"Path}""","")&amp;" wx:samplePath="""&amp;Controls!C41&amp;"""&gt;&lt;doc title="""&amp;Controls!$B41&amp;"""&gt;"&amp;Controls!P41&amp;"&lt;/doc&gt;"</f>
        <v>&lt;resource id="LogEvent"  wx:samplePath="/edev/{id1}/lel/{id2}"&gt;&lt;doc title="LogEvent"&gt;A specific LogEvent entry from the LogEventList. &lt;/doc&gt;</v>
      </c>
      <c r="B41" s="1" t="str">
        <f>"&lt;method id="""&amp;Controls!D$1&amp;Controls!$B41&amp;""" name="""&amp;Controls!D$1&amp;""" wx:mode="""&amp;Controls!D41&amp;"""&gt;"&amp;IF(Controls!D41="E","&lt;response status=""400""/&gt;&lt;response status=""405""/&gt;",I41&amp;"&lt;response&gt;&lt;representation mediaType="""&amp;Var!$B$18&amp;""" element=""sep:"&amp;Controls!$W41&amp;"""/&gt;&lt;representation mediaType="""&amp;Var!$B$19&amp;""" element=""sep:"&amp;Controls!$W41&amp;"""/&gt;&lt;/response&gt;")&amp;"&lt;/method&gt;"</f>
        <v>&lt;method id="GETLogEvent" name="GET" wx:mode="M"&gt;&lt;response&gt;&lt;representation mediaType="application/sep+xml" element="sep:LogEvent"/&gt;&lt;representation mediaType="application/sep-exi" element="sep:LogEvent"/&gt;&lt;/response&gt;&lt;/method&gt;</v>
      </c>
      <c r="C41" s="1" t="str">
        <f>"&lt;method id=""HEAD"&amp;Controls!$B41&amp;""" name=""HEAD"" wx:mode="""&amp;Controls!D41&amp;"""/&gt;"</f>
        <v>&lt;method id="HEADLogEvent" name="HEAD" wx:mode="M"/&gt;</v>
      </c>
      <c r="D41" s="1" t="str">
        <f>"&lt;method id="""&amp;Controls!E$1&amp;Controls!$B41&amp;""" name="""&amp;Controls!E$1&amp;""" wx:mode="""&amp;Controls!E41&amp;"""&gt;&lt;request&gt;&lt;representation mediaType="""&amp;Var!$B$18&amp;""" element=""sep:"&amp;Controls!$V41&amp;"""/&gt;&lt;representation mediaType="""&amp;Var!$B$19&amp;""" element=""sep:"&amp;Controls!$V41&amp;"""/&gt;&lt;/request&gt;"&amp;IF(Controls!E41="E","&lt;response status=""400""/&gt;&lt;response status=""405""/&gt;","")&amp;"&lt;/method&gt;"</f>
        <v>&lt;method id="PUTLogEvent" name="PUT" wx:mode="O"&gt;&lt;request&gt;&lt;representation mediaType="application/sep+xml" element="sep:LogEvent"/&gt;&lt;representation mediaType="application/sep-exi" element="sep:LogEvent"/&gt;&lt;/request&gt;&lt;/method&gt;</v>
      </c>
      <c r="E41" s="1" t="str">
        <f>"&lt;method id="""&amp;Controls!F$1&amp;Controls!$B41&amp;""" name="""&amp;Controls!F$1&amp;""" wx:mode="""&amp;Controls!F41&amp;"""&gt;"&amp;IF(Controls!B41="MirrorUsagePoint",Var!$B$21,"&lt;request&gt;&lt;representation mediaType="""&amp;Var!$B$18&amp;""" element=""sep:"&amp;Controls!$V41&amp;"""/&gt;&lt;representation mediaType="""&amp;Var!$B$19&amp;""" element=""sep:"&amp;Controls!$V41&amp;"""/&gt;&lt;/request&gt;")&amp;IF(Controls!F41="E","&lt;response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id="POSTLogEvent" name="POST" wx:mode="E"&gt;&lt;request&gt;&lt;representation mediaType="application/sep+xml" element="sep:LogEvent"/&gt;&lt;representation mediaType="application/sep-exi" element="sep:LogEvent"/&gt;&lt;/request&gt;&lt;response status="400"/&gt;&lt;response status="405"/&gt;&lt;/method&gt;</v>
      </c>
      <c r="F41" s="1" t="str">
        <f>"&lt;method id="""&amp;Controls!G$1&amp;Controls!$B41&amp;""" name="""&amp;Controls!G$1&amp;""" wx:mode="""&amp;Controls!G41&amp;"""&gt;"&amp;IF(Controls!G41="E","&lt;response status=""400""/&gt;&lt;response status=""405""/&gt;","&lt;response&gt;&lt;representation mediaType=""application/xml"" element=""sep:"&amp;Controls!$V41&amp;"""/&gt;&lt;/response&gt;")&amp;"&lt;/method&gt;"</f>
        <v>&lt;method id="DELETELogEvent" name="DELETE" wx:mode="M"&gt;&lt;response&gt;&lt;representation mediaType="application/xml" element="sep:LogEvent"/&gt;&lt;/response&gt;&lt;/method&gt;</v>
      </c>
      <c r="G41" s="1" t="str">
        <f ca="1">IF(ISBLANK(Controls!B41),"",OFFSET(Var!B$11,Controls!O41,0)&amp;"&lt;/resource&gt;")</f>
        <v>&lt;wx:sampleParam name="id1" style="template" type="idType"/&gt;&lt;wx:sampleParam name="id2" style="template" type="idType"/&gt;&lt;/resource&gt;</v>
      </c>
      <c r="I41" s="6" t="str">
        <f>IF(Controls!K41,"&lt;request&gt;&lt;param name=""s"" style=""query"" type=""xsd:int""&gt;&lt;doc&gt;start&lt;/doc&gt;&lt;/param&gt;"&amp;IF(Controls!L41,"&lt;param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2" spans="1:9" ht="49.5" customHeight="1">
      <c r="A42" s="1" t="str">
        <f>"&lt;resource id="""&amp;Controls!B42&amp;""" "&amp;IF(0,"path=""{"&amp;Controls!B42&amp;"Path}""","")&amp;" wx:samplePath="""&amp;Controls!C42&amp;"""&gt;&lt;doc title="""&amp;Controls!$B42&amp;"""&gt;"&amp;Controls!P42&amp;"&lt;/doc&gt;"</f>
        <v>&lt;resource id="Configuration"  wx:samplePath="/edev/{id1}/cfg"&gt;&lt;doc title="Configuration"&gt;Contains the configuration settings of the associated EndDevice or SelfDevice.&lt;/doc&gt;</v>
      </c>
      <c r="B42" s="1" t="str">
        <f>"&lt;method id="""&amp;Controls!D$1&amp;Controls!$B42&amp;""" name="""&amp;Controls!D$1&amp;""" wx:mode="""&amp;Controls!D42&amp;"""&gt;"&amp;IF(Controls!D42="E","&lt;response status=""400""/&gt;&lt;response status=""405""/&gt;",I42&amp;"&lt;response&gt;&lt;representation mediaType="""&amp;Var!$B$18&amp;""" element=""sep:"&amp;Controls!$W42&amp;"""/&gt;&lt;representation mediaType="""&amp;Var!$B$19&amp;""" element=""sep:"&amp;Controls!$W42&amp;"""/&gt;&lt;/response&gt;")&amp;"&lt;/method&gt;"</f>
        <v>&lt;method id="GETConfiguration" name="GET" wx:mode="M"&gt;&lt;response&gt;&lt;representation mediaType="application/sep+xml" element="sep:Configuration"/&gt;&lt;representation mediaType="application/sep-exi" element="sep:Configuration"/&gt;&lt;/response&gt;&lt;/method&gt;</v>
      </c>
      <c r="C42" s="1" t="str">
        <f>"&lt;method id=""HEAD"&amp;Controls!$B42&amp;""" name=""HEAD"" wx:mode="""&amp;Controls!D42&amp;"""/&gt;"</f>
        <v>&lt;method id="HEADConfiguration" name="HEAD" wx:mode="M"/&gt;</v>
      </c>
      <c r="D42" s="1" t="str">
        <f>"&lt;method id="""&amp;Controls!E$1&amp;Controls!$B42&amp;""" name="""&amp;Controls!E$1&amp;""" wx:mode="""&amp;Controls!E42&amp;"""&gt;&lt;request&gt;&lt;representation mediaType="""&amp;Var!$B$18&amp;""" element=""sep:"&amp;Controls!$V42&amp;"""/&gt;&lt;representation mediaType="""&amp;Var!$B$19&amp;""" element=""sep:"&amp;Controls!$V42&amp;"""/&gt;&lt;/request&gt;"&amp;IF(Controls!E42="E","&lt;response status=""400""/&gt;&lt;response status=""405""/&gt;","")&amp;"&lt;/method&gt;"</f>
        <v>&lt;method id="PUTConfiguration" name="PUT" wx:mode="M"&gt;&lt;request&gt;&lt;representation mediaType="application/sep+xml" element="sep:Configuration"/&gt;&lt;representation mediaType="application/sep-exi" element="sep:Configuration"/&gt;&lt;/request&gt;&lt;/method&gt;</v>
      </c>
      <c r="E42" s="1" t="str">
        <f>"&lt;method id="""&amp;Controls!F$1&amp;Controls!$B42&amp;""" name="""&amp;Controls!F$1&amp;""" wx:mode="""&amp;Controls!F42&amp;"""&gt;"&amp;IF(Controls!B42="MirrorUsagePoint",Var!$B$21,"&lt;request&gt;&lt;representation mediaType="""&amp;Var!$B$18&amp;""" element=""sep:"&amp;Controls!$V42&amp;"""/&gt;&lt;representation mediaType="""&amp;Var!$B$19&amp;""" element=""sep:"&amp;Controls!$V42&amp;"""/&gt;&lt;/request&gt;")&amp;IF(Controls!F42="E","&lt;response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id="POSTConfiguration" name="POST" wx:mode="E"&gt;&lt;request&gt;&lt;representation mediaType="application/sep+xml" element="sep:Configuration"/&gt;&lt;representation mediaType="application/sep-exi" element="sep:Configuration"/&gt;&lt;/request&gt;&lt;response status="400"/&gt;&lt;response status="405"/&gt;&lt;/method&gt;</v>
      </c>
      <c r="F42" s="1" t="str">
        <f>"&lt;method id="""&amp;Controls!G$1&amp;Controls!$B42&amp;""" name="""&amp;Controls!G$1&amp;""" wx:mode="""&amp;Controls!G42&amp;"""&gt;"&amp;IF(Controls!G42="E","&lt;response status=""400""/&gt;&lt;response status=""405""/&gt;","&lt;response&gt;&lt;representation mediaType=""application/xml"" element=""sep:"&amp;Controls!$V42&amp;"""/&gt;&lt;/response&gt;")&amp;"&lt;/method&gt;"</f>
        <v>&lt;method id="DELETEConfiguration" name="DELETE" wx:mode="E"&gt;&lt;response status="400"/&gt;&lt;response status="405"/&gt;&lt;/method&gt;</v>
      </c>
      <c r="G42" s="1" t="str">
        <f ca="1">IF(ISBLANK(Controls!B42),"",OFFSET(Var!B$11,Controls!O42,0)&amp;"&lt;/resource&gt;")</f>
        <v>&lt;wx:sampleParam name="id1" style="template" type="idType"/&gt;&lt;/resource&gt;</v>
      </c>
      <c r="I42" s="6" t="str">
        <f>IF(Controls!K42,"&lt;request&gt;&lt;param name=""s"" style=""query"" type=""xsd:int""&gt;&lt;doc&gt;start&lt;/doc&gt;&lt;/param&gt;"&amp;IF(Controls!L42,"&lt;param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3" spans="1:9" ht="49.5" customHeight="1">
      <c r="A43" s="1" t="str">
        <f>"&lt;resource id="""&amp;Controls!B43&amp;""" "&amp;IF(0,"path=""{"&amp;Controls!B43&amp;"Path}""","")&amp;" wx:samplePath="""&amp;Controls!C43&amp;"""&gt;&lt;doc title="""&amp;Controls!$B43&amp;"""&gt;"&amp;Controls!P43&amp;"&lt;/doc&gt;"</f>
        <v>&lt;resource id="PriceResponseCfgList"  wx:samplePath="/edev/{id1}/cfg/prcfg"&gt;&lt;doc title="PriceResponseCfgList"&gt;Contains a List of price response configuration settings.&lt;/doc&gt;</v>
      </c>
      <c r="B43" s="1" t="str">
        <f>"&lt;method id="""&amp;Controls!D$1&amp;Controls!$B43&amp;""" name="""&amp;Controls!D$1&amp;""" wx:mode="""&amp;Controls!D43&amp;"""&gt;"&amp;IF(Controls!D43="E","&lt;response status=""400""/&gt;&lt;response status=""405""/&gt;",I43&amp;"&lt;response&gt;&lt;representation mediaType="""&amp;Var!$B$18&amp;""" element=""sep:"&amp;Controls!$W43&amp;"""/&gt;&lt;representation mediaType="""&amp;Var!$B$19&amp;""" element=""sep:"&amp;Controls!$W43&amp;"""/&gt;&lt;/response&gt;")&amp;"&lt;/method&gt;"</f>
        <v>&lt;method id="GETPriceResponseCfgList"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element="sep:PriceResponseCfgList"/&gt;&lt;representation mediaType="application/sep-exi" element="sep:PriceResponseCfgList"/&gt;&lt;/response&gt;&lt;/method&gt;</v>
      </c>
      <c r="C43" s="1" t="str">
        <f>"&lt;method id=""HEAD"&amp;Controls!$B43&amp;""" name=""HEAD"" wx:mode="""&amp;Controls!D43&amp;"""/&gt;"</f>
        <v>&lt;method id="HEADPriceResponseCfgList" name="HEAD" wx:mode="M"/&gt;</v>
      </c>
      <c r="D43" s="1" t="str">
        <f>"&lt;method id="""&amp;Controls!E$1&amp;Controls!$B43&amp;""" name="""&amp;Controls!E$1&amp;""" wx:mode="""&amp;Controls!E43&amp;"""&gt;&lt;request&gt;&lt;representation mediaType="""&amp;Var!$B$18&amp;""" element=""sep:"&amp;Controls!$V43&amp;"""/&gt;&lt;representation mediaType="""&amp;Var!$B$19&amp;""" element=""sep:"&amp;Controls!$V43&amp;"""/&gt;&lt;/request&gt;"&amp;IF(Controls!E43="E","&lt;response status=""400""/&gt;&lt;response status=""405""/&gt;","")&amp;"&lt;/method&gt;"</f>
        <v>&lt;method id="PUTPriceResponseCfgList" name="PUT" wx:mode="E"&gt;&lt;request&gt;&lt;representation mediaType="application/sep+xml" element="sep:PriceResponseCfg"/&gt;&lt;representation mediaType="application/sep-exi" element="sep:PriceResponseCfg"/&gt;&lt;/request&gt;&lt;response status="400"/&gt;&lt;response status="405"/&gt;&lt;/method&gt;</v>
      </c>
      <c r="E43" s="1" t="str">
        <f>"&lt;method id="""&amp;Controls!F$1&amp;Controls!$B43&amp;""" name="""&amp;Controls!F$1&amp;""" wx:mode="""&amp;Controls!F43&amp;"""&gt;"&amp;IF(Controls!B43="MirrorUsagePoint",Var!$B$21,"&lt;request&gt;&lt;representation mediaType="""&amp;Var!$B$18&amp;""" element=""sep:"&amp;Controls!$V43&amp;"""/&gt;&lt;representation mediaType="""&amp;Var!$B$19&amp;""" element=""sep:"&amp;Controls!$V43&amp;"""/&gt;&lt;/request&gt;")&amp;IF(Controls!F43="E","&lt;response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id="POSTPriceResponseCfgList" name="POST" wx:mode="M"&gt;&lt;request&gt;&lt;representation mediaType="application/sep+xml" element="sep:PriceResponseCfg"/&gt;&lt;representation mediaType="application/sep-exi" element="sep:PriceResponseCfg"/&gt;&lt;/request&gt;&lt;response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43" s="1" t="str">
        <f>"&lt;method id="""&amp;Controls!G$1&amp;Controls!$B43&amp;""" name="""&amp;Controls!G$1&amp;""" wx:mode="""&amp;Controls!G43&amp;"""&gt;"&amp;IF(Controls!G43="E","&lt;response status=""400""/&gt;&lt;response status=""405""/&gt;","&lt;response&gt;&lt;representation mediaType=""application/xml"" element=""sep:"&amp;Controls!$V43&amp;"""/&gt;&lt;/response&gt;")&amp;"&lt;/method&gt;"</f>
        <v>&lt;method id="DELETEPriceResponseCfgList" name="DELETE" wx:mode="E"&gt;&lt;response status="400"/&gt;&lt;response status="405"/&gt;&lt;/method&gt;</v>
      </c>
      <c r="G43" s="1" t="str">
        <f ca="1">IF(ISBLANK(Controls!B43),"",OFFSET(Var!B$11,Controls!O43,0)&amp;"&lt;/resource&gt;")</f>
        <v>&lt;wx:sampleParam name="id1" style="template" type="idType"/&gt;&lt;/resource&gt;</v>
      </c>
      <c r="I43" s="6" t="str">
        <f>IF(Controls!K43,"&lt;request&gt;&lt;param name=""s"" style=""query"" type=""xsd:int""&gt;&lt;doc&gt;start&lt;/doc&gt;&lt;/param&gt;"&amp;IF(Controls!L43,"&lt;param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44" spans="1:9" ht="49.5" customHeight="1">
      <c r="A44" s="1" t="str">
        <f>"&lt;resource id="""&amp;Controls!B44&amp;""" "&amp;IF(0,"path=""{"&amp;Controls!B44&amp;"Path}""","")&amp;" wx:samplePath="""&amp;Controls!C44&amp;"""&gt;&lt;doc title="""&amp;Controls!$B44&amp;"""&gt;"&amp;Controls!P44&amp;"&lt;/doc&gt;"</f>
        <v>&lt;resource id="PriceResponseCfg"  wx:samplePath="/edev/{id1}/cfg/prcfg/{id2}"&gt;&lt;doc title="PriceResponseCfg"&gt;Contains the price response configuration settings for this EndDevice associated with a RateComponent.&lt;/doc&gt;</v>
      </c>
      <c r="B44" s="1" t="str">
        <f>"&lt;method id="""&amp;Controls!D$1&amp;Controls!$B44&amp;""" name="""&amp;Controls!D$1&amp;""" wx:mode="""&amp;Controls!D44&amp;"""&gt;"&amp;IF(Controls!D44="E","&lt;response status=""400""/&gt;&lt;response status=""405""/&gt;",I44&amp;"&lt;response&gt;&lt;representation mediaType="""&amp;Var!$B$18&amp;""" element=""sep:"&amp;Controls!$W44&amp;"""/&gt;&lt;representation mediaType="""&amp;Var!$B$19&amp;""" element=""sep:"&amp;Controls!$W44&amp;"""/&gt;&lt;/response&gt;")&amp;"&lt;/method&gt;"</f>
        <v>&lt;method id="GETPriceResponseCfg" name="GET" wx:mode="M"&gt;&lt;response&gt;&lt;representation mediaType="application/sep+xml" element="sep:PriceResponseCfg"/&gt;&lt;representation mediaType="application/sep-exi" element="sep:PriceResponseCfg"/&gt;&lt;/response&gt;&lt;/method&gt;</v>
      </c>
      <c r="C44" s="1" t="str">
        <f>"&lt;method id=""HEAD"&amp;Controls!$B44&amp;""" name=""HEAD"" wx:mode="""&amp;Controls!D44&amp;"""/&gt;"</f>
        <v>&lt;method id="HEADPriceResponseCfg" name="HEAD" wx:mode="M"/&gt;</v>
      </c>
      <c r="D44" s="1" t="str">
        <f>"&lt;method id="""&amp;Controls!E$1&amp;Controls!$B44&amp;""" name="""&amp;Controls!E$1&amp;""" wx:mode="""&amp;Controls!E44&amp;"""&gt;&lt;request&gt;&lt;representation mediaType="""&amp;Var!$B$18&amp;""" element=""sep:"&amp;Controls!$V44&amp;"""/&gt;&lt;representation mediaType="""&amp;Var!$B$19&amp;""" element=""sep:"&amp;Controls!$V44&amp;"""/&gt;&lt;/request&gt;"&amp;IF(Controls!E44="E","&lt;response status=""400""/&gt;&lt;response status=""405""/&gt;","")&amp;"&lt;/method&gt;"</f>
        <v>&lt;method id="PUTPriceResponseCfg" name="PUT" wx:mode="M"&gt;&lt;request&gt;&lt;representation mediaType="application/sep+xml" element="sep:PriceResponseCfg"/&gt;&lt;representation mediaType="application/sep-exi" element="sep:PriceResponseCfg"/&gt;&lt;/request&gt;&lt;/method&gt;</v>
      </c>
      <c r="E44" s="1" t="str">
        <f>"&lt;method id="""&amp;Controls!F$1&amp;Controls!$B44&amp;""" name="""&amp;Controls!F$1&amp;""" wx:mode="""&amp;Controls!F44&amp;"""&gt;"&amp;IF(Controls!B44="MirrorUsagePoint",Var!$B$21,"&lt;request&gt;&lt;representation mediaType="""&amp;Var!$B$18&amp;""" element=""sep:"&amp;Controls!$V44&amp;"""/&gt;&lt;representation mediaType="""&amp;Var!$B$19&amp;""" element=""sep:"&amp;Controls!$V44&amp;"""/&gt;&lt;/request&gt;")&amp;IF(Controls!F44="E","&lt;response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id="POSTPriceResponseCfg" name="POST" wx:mode="E"&gt;&lt;request&gt;&lt;representation mediaType="application/sep+xml" element="sep:PriceResponseCfg"/&gt;&lt;representation mediaType="application/sep-exi" element="sep:PriceResponseCfg"/&gt;&lt;/request&gt;&lt;response status="400"/&gt;&lt;response status="405"/&gt;&lt;/method&gt;</v>
      </c>
      <c r="F44" s="1" t="str">
        <f>"&lt;method id="""&amp;Controls!G$1&amp;Controls!$B44&amp;""" name="""&amp;Controls!G$1&amp;""" wx:mode="""&amp;Controls!G44&amp;"""&gt;"&amp;IF(Controls!G44="E","&lt;response status=""400""/&gt;&lt;response status=""405""/&gt;","&lt;response&gt;&lt;representation mediaType=""application/xml"" element=""sep:"&amp;Controls!$V44&amp;"""/&gt;&lt;/response&gt;")&amp;"&lt;/method&gt;"</f>
        <v>&lt;method id="DELETEPriceResponseCfg" name="DELETE" wx:mode="M"&gt;&lt;response&gt;&lt;representation mediaType="application/xml" element="sep:PriceResponseCfg"/&gt;&lt;/response&gt;&lt;/method&gt;</v>
      </c>
      <c r="G44" s="1" t="str">
        <f ca="1">IF(ISBLANK(Controls!B44),"",OFFSET(Var!B$11,Controls!O44,0)&amp;"&lt;/resource&gt;")</f>
        <v>&lt;wx:sampleParam name="id1" style="template" type="idType"/&gt;&lt;wx:sampleParam name="id2" style="template" type="idType"/&gt;&lt;/resource&gt;</v>
      </c>
      <c r="I44" s="6" t="str">
        <f>IF(Controls!K44,"&lt;request&gt;&lt;param name=""s"" style=""query"" type=""xsd:int""&gt;&lt;doc&gt;start&lt;/doc&gt;&lt;/param&gt;"&amp;IF(Controls!L44,"&lt;param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5" spans="1:9" ht="49.5" customHeight="1">
      <c r="A45" s="1" t="str">
        <f>"&lt;resource id="""&amp;Controls!B45&amp;""" "&amp;IF(0,"path=""{"&amp;Controls!B45&amp;"Path}""","")&amp;" wx:samplePath="""&amp;Controls!C45&amp;"""&gt;&lt;doc title="""&amp;Controls!$B45&amp;"""&gt;"&amp;Controls!P45&amp;"&lt;/doc&gt;"</f>
        <v>&lt;resource id="FileList"  wx:samplePath="/file"&gt;&lt;doc title="FileList"&gt;A list of files&lt;/doc&gt;</v>
      </c>
      <c r="B45" s="1" t="str">
        <f>"&lt;method id="""&amp;Controls!D$1&amp;Controls!$B45&amp;""" name="""&amp;Controls!D$1&amp;""" wx:mode="""&amp;Controls!D45&amp;"""&gt;"&amp;IF(Controls!D45="E","&lt;response status=""400""/&gt;&lt;response status=""405""/&gt;",I45&amp;"&lt;response&gt;&lt;representation mediaType="""&amp;Var!$B$18&amp;""" element=""sep:"&amp;Controls!$W45&amp;"""/&gt;&lt;representation mediaType="""&amp;Var!$B$19&amp;""" element=""sep:"&amp;Controls!$W45&amp;"""/&gt;&lt;/response&gt;")&amp;"&lt;/method&gt;"</f>
        <v>&lt;method id="GETFileList"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element="sep:FileList"/&gt;&lt;representation mediaType="application/sep-exi" element="sep:FileList"/&gt;&lt;/response&gt;&lt;/method&gt;</v>
      </c>
      <c r="C45" s="1" t="str">
        <f>"&lt;method id=""HEAD"&amp;Controls!$B45&amp;""" name=""HEAD"" wx:mode="""&amp;Controls!D45&amp;"""/&gt;"</f>
        <v>&lt;method id="HEADFileList" name="HEAD" wx:mode="M"/&gt;</v>
      </c>
      <c r="D45" s="1" t="str">
        <f>"&lt;method id="""&amp;Controls!E$1&amp;Controls!$B45&amp;""" name="""&amp;Controls!E$1&amp;""" wx:mode="""&amp;Controls!E45&amp;"""&gt;&lt;request&gt;&lt;representation mediaType="""&amp;Var!$B$18&amp;""" element=""sep:"&amp;Controls!$V45&amp;"""/&gt;&lt;representation mediaType="""&amp;Var!$B$19&amp;""" element=""sep:"&amp;Controls!$V45&amp;"""/&gt;&lt;/request&gt;"&amp;IF(Controls!E45="E","&lt;response status=""400""/&gt;&lt;response status=""405""/&gt;","")&amp;"&lt;/method&gt;"</f>
        <v>&lt;method id="PUTFileList" name="PUT" wx:mode="E"&gt;&lt;request&gt;&lt;representation mediaType="application/sep+xml" element="sep:File"/&gt;&lt;representation mediaType="application/sep-exi" element="sep:File"/&gt;&lt;/request&gt;&lt;response status="400"/&gt;&lt;response status="405"/&gt;&lt;/method&gt;</v>
      </c>
      <c r="E45" s="1" t="str">
        <f>"&lt;method id="""&amp;Controls!F$1&amp;Controls!$B45&amp;""" name="""&amp;Controls!F$1&amp;""" wx:mode="""&amp;Controls!F45&amp;"""&gt;"&amp;IF(Controls!B45="MirrorUsagePoint",Var!$B$21,"&lt;request&gt;&lt;representation mediaType="""&amp;Var!$B$18&amp;""" element=""sep:"&amp;Controls!$V45&amp;"""/&gt;&lt;representation mediaType="""&amp;Var!$B$19&amp;""" element=""sep:"&amp;Controls!$V45&amp;"""/&gt;&lt;/request&gt;")&amp;IF(Controls!F45="E","&lt;response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id="POSTFileList" name="POST" wx:mode="D"&gt;&lt;request&gt;&lt;representation mediaType="application/sep+xml" element="sep:File"/&gt;&lt;representation mediaType="application/sep-exi" element="sep:File"/&gt;&lt;/request&gt;&lt;response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45" s="1" t="str">
        <f>"&lt;method id="""&amp;Controls!G$1&amp;Controls!$B45&amp;""" name="""&amp;Controls!G$1&amp;""" wx:mode="""&amp;Controls!G45&amp;"""&gt;"&amp;IF(Controls!G45="E","&lt;response status=""400""/&gt;&lt;response status=""405""/&gt;","&lt;response&gt;&lt;representation mediaType=""application/xml"" element=""sep:"&amp;Controls!$V45&amp;"""/&gt;&lt;/response&gt;")&amp;"&lt;/method&gt;"</f>
        <v>&lt;method id="DELETEFileList" name="DELETE" wx:mode="E"&gt;&lt;response status="400"/&gt;&lt;response status="405"/&gt;&lt;/method&gt;</v>
      </c>
      <c r="G45" s="1" t="str">
        <f ca="1">IF(ISBLANK(Controls!B45),"",OFFSET(Var!B$11,Controls!O45,0)&amp;"&lt;/resource&gt;")</f>
        <v>&lt;wx:sampleParam name="id1" style="template" type="idType"/&gt;&lt;wx:sampleParam name="id2" style="template" type="idType"/&gt;&lt;/resource&gt;</v>
      </c>
      <c r="I45" s="6" t="str">
        <f>IF(Controls!K45,"&lt;request&gt;&lt;param name=""s"" style=""query"" type=""xsd:int""&gt;&lt;doc&gt;start&lt;/doc&gt;&lt;/param&gt;"&amp;IF(Controls!L45,"&lt;param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46" spans="1:9" ht="49.5" customHeight="1">
      <c r="A46" s="1" t="str">
        <f>"&lt;resource id="""&amp;Controls!B46&amp;""" "&amp;IF(0,"path=""{"&amp;Controls!B46&amp;"Path}""","")&amp;" wx:samplePath="""&amp;Controls!C46&amp;"""&gt;&lt;doc title="""&amp;Controls!$B46&amp;"""&gt;"&amp;Controls!P46&amp;"&lt;/doc&gt;"</f>
        <v>&lt;resource id="File"  wx:samplePath="/file/{id1}"&gt;&lt;doc title="File"&gt;A specific file&lt;/doc&gt;</v>
      </c>
      <c r="B46" s="1" t="str">
        <f>"&lt;method id="""&amp;Controls!D$1&amp;Controls!$B46&amp;""" name="""&amp;Controls!D$1&amp;""" wx:mode="""&amp;Controls!D46&amp;"""&gt;"&amp;IF(Controls!D46="E","&lt;response status=""400""/&gt;&lt;response status=""405""/&gt;",I46&amp;"&lt;response&gt;&lt;representation mediaType="""&amp;Var!$B$18&amp;""" element=""sep:"&amp;Controls!$W46&amp;"""/&gt;&lt;representation mediaType="""&amp;Var!$B$19&amp;""" element=""sep:"&amp;Controls!$W46&amp;"""/&gt;&lt;/response&gt;")&amp;"&lt;/method&gt;"</f>
        <v>&lt;method id="GETFile" name="GET" wx:mode="M"&gt;&lt;response&gt;&lt;representation mediaType="application/sep+xml" element="sep:File"/&gt;&lt;representation mediaType="application/sep-exi" element="sep:File"/&gt;&lt;/response&gt;&lt;/method&gt;</v>
      </c>
      <c r="C46" s="1" t="str">
        <f>"&lt;method id=""HEAD"&amp;Controls!$B46&amp;""" name=""HEAD"" wx:mode="""&amp;Controls!D46&amp;"""/&gt;"</f>
        <v>&lt;method id="HEADFile" name="HEAD" wx:mode="M"/&gt;</v>
      </c>
      <c r="D46" s="1" t="str">
        <f>"&lt;method id="""&amp;Controls!E$1&amp;Controls!$B46&amp;""" name="""&amp;Controls!E$1&amp;""" wx:mode="""&amp;Controls!E46&amp;"""&gt;&lt;request&gt;&lt;representation mediaType="""&amp;Var!$B$18&amp;""" element=""sep:"&amp;Controls!$V46&amp;"""/&gt;&lt;representation mediaType="""&amp;Var!$B$19&amp;""" element=""sep:"&amp;Controls!$V46&amp;"""/&gt;&lt;/request&gt;"&amp;IF(Controls!E46="E","&lt;response status=""400""/&gt;&lt;response status=""405""/&gt;","")&amp;"&lt;/method&gt;"</f>
        <v>&lt;method id="PUTFile" name="PUT" wx:mode="D"&gt;&lt;request&gt;&lt;representation mediaType="application/sep+xml" element="sep:File"/&gt;&lt;representation mediaType="application/sep-exi" element="sep:File"/&gt;&lt;/request&gt;&lt;/method&gt;</v>
      </c>
      <c r="E46" s="1" t="str">
        <f>"&lt;method id="""&amp;Controls!F$1&amp;Controls!$B46&amp;""" name="""&amp;Controls!F$1&amp;""" wx:mode="""&amp;Controls!F46&amp;"""&gt;"&amp;IF(Controls!B46="MirrorUsagePoint",Var!$B$21,"&lt;request&gt;&lt;representation mediaType="""&amp;Var!$B$18&amp;""" element=""sep:"&amp;Controls!$V46&amp;"""/&gt;&lt;representation mediaType="""&amp;Var!$B$19&amp;""" element=""sep:"&amp;Controls!$V46&amp;"""/&gt;&lt;/request&gt;")&amp;IF(Controls!F46="E","&lt;response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id="POSTFile" name="POST" wx:mode="E"&gt;&lt;request&gt;&lt;representation mediaType="application/sep+xml" element="sep:File"/&gt;&lt;representation mediaType="application/sep-exi" element="sep:File"/&gt;&lt;/request&gt;&lt;response status="400"/&gt;&lt;response status="405"/&gt;&lt;/method&gt;</v>
      </c>
      <c r="F46" s="1" t="str">
        <f>"&lt;method id="""&amp;Controls!G$1&amp;Controls!$B46&amp;""" name="""&amp;Controls!G$1&amp;""" wx:mode="""&amp;Controls!G46&amp;"""&gt;"&amp;IF(Controls!G46="E","&lt;response status=""400""/&gt;&lt;response status=""405""/&gt;","&lt;response&gt;&lt;representation mediaType=""application/xml"" element=""sep:"&amp;Controls!$V46&amp;"""/&gt;&lt;/response&gt;")&amp;"&lt;/method&gt;"</f>
        <v>&lt;method id="DELETEFile" name="DELETE" wx:mode="D"&gt;&lt;response&gt;&lt;representation mediaType="application/xml" element="sep:File"/&gt;&lt;/response&gt;&lt;/method&gt;</v>
      </c>
      <c r="G46" s="1" t="str">
        <f ca="1">IF(ISBLANK(Controls!B46),"",OFFSET(Var!B$11,Controls!O46,0)&amp;"&lt;/resource&gt;")</f>
        <v>&lt;wx:sampleParam name="id1" style="template" type="idType"/&gt;&lt;/resource&gt;</v>
      </c>
      <c r="I46" s="6" t="str">
        <f>IF(Controls!K46,"&lt;request&gt;&lt;param name=""s"" style=""query"" type=""xsd:int""&gt;&lt;doc&gt;start&lt;/doc&gt;&lt;/param&gt;"&amp;IF(Controls!L46,"&lt;param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7" spans="1:9" ht="49.5" customHeight="1">
      <c r="A47" s="1" t="str">
        <f>"&lt;resource id="""&amp;Controls!B47&amp;""" "&amp;IF(0,"path=""{"&amp;Controls!B47&amp;"Path}""","")&amp;" wx:samplePath="""&amp;Controls!C47&amp;"""&gt;&lt;doc title="""&amp;Controls!$B47&amp;"""&gt;"&amp;Controls!P47&amp;"&lt;/doc&gt;"</f>
        <v>&lt;resource id="FileStatus"  wx:samplePath="/edev/{id1}/fs"&gt;&lt;doc title="FileStatus"&gt;The file status of a particular file download for the associated EndDevice or SelfDevice.&lt;/doc&gt;</v>
      </c>
      <c r="B47" s="1" t="str">
        <f>"&lt;method id="""&amp;Controls!D$1&amp;Controls!$B47&amp;""" name="""&amp;Controls!D$1&amp;""" wx:mode="""&amp;Controls!D47&amp;"""&gt;"&amp;IF(Controls!D47="E","&lt;response status=""400""/&gt;&lt;response status=""405""/&gt;",I47&amp;"&lt;response&gt;&lt;representation mediaType="""&amp;Var!$B$18&amp;""" element=""sep:"&amp;Controls!$W47&amp;"""/&gt;&lt;representation mediaType="""&amp;Var!$B$19&amp;""" element=""sep:"&amp;Controls!$W47&amp;"""/&gt;&lt;/response&gt;")&amp;"&lt;/method&gt;"</f>
        <v>&lt;method id="GETFileStatus" name="GET" wx:mode="M"&gt;&lt;response&gt;&lt;representation mediaType="application/sep+xml" element="sep:FileStatus"/&gt;&lt;representation mediaType="application/sep-exi" element="sep:FileStatus"/&gt;&lt;/response&gt;&lt;/method&gt;</v>
      </c>
      <c r="C47" s="1" t="str">
        <f>"&lt;method id=""HEAD"&amp;Controls!$B47&amp;""" name=""HEAD"" wx:mode="""&amp;Controls!D47&amp;"""/&gt;"</f>
        <v>&lt;method id="HEADFileStatus" name="HEAD" wx:mode="M"/&gt;</v>
      </c>
      <c r="D47" s="1" t="str">
        <f>"&lt;method id="""&amp;Controls!E$1&amp;Controls!$B47&amp;""" name="""&amp;Controls!E$1&amp;""" wx:mode="""&amp;Controls!E47&amp;"""&gt;&lt;request&gt;&lt;representation mediaType="""&amp;Var!$B$18&amp;""" element=""sep:"&amp;Controls!$V47&amp;"""/&gt;&lt;representation mediaType="""&amp;Var!$B$19&amp;""" element=""sep:"&amp;Controls!$V47&amp;"""/&gt;&lt;/request&gt;"&amp;IF(Controls!E47="E","&lt;response status=""400""/&gt;&lt;response status=""405""/&gt;","")&amp;"&lt;/method&gt;"</f>
        <v>&lt;method id="PUTFileStatus" name="PUT" wx:mode="M"&gt;&lt;request&gt;&lt;representation mediaType="application/sep+xml" element="sep:FileStatus"/&gt;&lt;representation mediaType="application/sep-exi" element="sep:FileStatus"/&gt;&lt;/request&gt;&lt;/method&gt;</v>
      </c>
      <c r="E47" s="1" t="str">
        <f>"&lt;method id="""&amp;Controls!F$1&amp;Controls!$B47&amp;""" name="""&amp;Controls!F$1&amp;""" wx:mode="""&amp;Controls!F47&amp;"""&gt;"&amp;IF(Controls!B47="MirrorUsagePoint",Var!$B$21,"&lt;request&gt;&lt;representation mediaType="""&amp;Var!$B$18&amp;""" element=""sep:"&amp;Controls!$V47&amp;"""/&gt;&lt;representation mediaType="""&amp;Var!$B$19&amp;""" element=""sep:"&amp;Controls!$V47&amp;"""/&gt;&lt;/request&gt;")&amp;IF(Controls!F47="E","&lt;response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id="POSTFileStatus" name="POST" wx:mode="E"&gt;&lt;request&gt;&lt;representation mediaType="application/sep+xml" element="sep:FileStatus"/&gt;&lt;representation mediaType="application/sep-exi" element="sep:FileStatus"/&gt;&lt;/request&gt;&lt;response status="400"/&gt;&lt;response status="405"/&gt;&lt;/method&gt;</v>
      </c>
      <c r="F47" s="1" t="str">
        <f>"&lt;method id="""&amp;Controls!G$1&amp;Controls!$B47&amp;""" name="""&amp;Controls!G$1&amp;""" wx:mode="""&amp;Controls!G47&amp;"""&gt;"&amp;IF(Controls!G47="E","&lt;response status=""400""/&gt;&lt;response status=""405""/&gt;","&lt;response&gt;&lt;representation mediaType=""application/xml"" element=""sep:"&amp;Controls!$V47&amp;"""/&gt;&lt;/response&gt;")&amp;"&lt;/method&gt;"</f>
        <v>&lt;method id="DELETEFileStatus" name="DELETE" wx:mode="E"&gt;&lt;response status="400"/&gt;&lt;response status="405"/&gt;&lt;/method&gt;</v>
      </c>
      <c r="G47" s="1" t="str">
        <f ca="1">IF(ISBLANK(Controls!B47),"",OFFSET(Var!B$11,Controls!O47,0)&amp;"&lt;/resource&gt;")</f>
        <v>&lt;wx:sampleParam name="id1" style="template" type="idType"/&gt;&lt;/resource&gt;</v>
      </c>
      <c r="I47" s="6" t="str">
        <f>IF(Controls!K47,"&lt;request&gt;&lt;param name=""s"" style=""query"" type=""xsd:int""&gt;&lt;doc&gt;start&lt;/doc&gt;&lt;/param&gt;"&amp;IF(Controls!L47,"&lt;param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48" spans="1:9" ht="49.5" customHeight="1">
      <c r="A48" s="1" t="str">
        <f>"&lt;resource id="""&amp;Controls!B48&amp;""" "&amp;IF(0,"path=""{"&amp;Controls!B48&amp;"Path}""","")&amp;" wx:samplePath="""&amp;Controls!C48&amp;"""&gt;&lt;doc title="""&amp;Controls!$B48&amp;"""&gt;"&amp;Controls!P48&amp;"&lt;/doc&gt;"</f>
        <v>&lt;resource id="DemandResponseProgramList"  wx:samplePath="/dr"&gt;&lt;doc title="DemandResponseProgramList"&gt;List of DemandResponseProgram instances. Devices implementing the DemandResponseProgramList resource MAY support multiple instances of DemandResponsePrograms.&lt;/doc&gt;</v>
      </c>
      <c r="B48" s="1" t="str">
        <f>"&lt;method id="""&amp;Controls!D$1&amp;Controls!$B48&amp;""" name="""&amp;Controls!D$1&amp;""" wx:mode="""&amp;Controls!D48&amp;"""&gt;"&amp;IF(Controls!D48="E","&lt;response status=""400""/&gt;&lt;response status=""405""/&gt;",I48&amp;"&lt;response&gt;&lt;representation mediaType="""&amp;Var!$B$18&amp;""" element=""sep:"&amp;Controls!$W48&amp;"""/&gt;&lt;representation mediaType="""&amp;Var!$B$19&amp;""" element=""sep:"&amp;Controls!$W48&amp;"""/&gt;&lt;/response&gt;")&amp;"&lt;/method&gt;"</f>
        <v>&lt;method id="GETDemandResponseProgramList"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element="sep:DemandResponseProgramList"/&gt;&lt;representation mediaType="application/sep-exi" element="sep:DemandResponseProgramList"/&gt;&lt;/response&gt;&lt;/method&gt;</v>
      </c>
      <c r="C48" s="1" t="str">
        <f>"&lt;method id=""HEAD"&amp;Controls!$B48&amp;""" name=""HEAD"" wx:mode="""&amp;Controls!D48&amp;"""/&gt;"</f>
        <v>&lt;method id="HEADDemandResponseProgramList" name="HEAD" wx:mode="M"/&gt;</v>
      </c>
      <c r="D48" s="1" t="str">
        <f>"&lt;method id="""&amp;Controls!E$1&amp;Controls!$B48&amp;""" name="""&amp;Controls!E$1&amp;""" wx:mode="""&amp;Controls!E48&amp;"""&gt;&lt;request&gt;&lt;representation mediaType="""&amp;Var!$B$18&amp;""" element=""sep:"&amp;Controls!$V48&amp;"""/&gt;&lt;representation mediaType="""&amp;Var!$B$19&amp;""" element=""sep:"&amp;Controls!$V48&amp;"""/&gt;&lt;/request&gt;"&amp;IF(Controls!E48="E","&lt;response status=""400""/&gt;&lt;response status=""405""/&gt;","")&amp;"&lt;/method&gt;"</f>
        <v>&lt;method id="PUTDemandResponseProgramList" name="PUT" wx:mode="E"&gt;&lt;request&gt;&lt;representation mediaType="application/sep+xml" element="sep:DemandResponseProgram"/&gt;&lt;representation mediaType="application/sep-exi" element="sep:DemandResponseProgram"/&gt;&lt;/request&gt;&lt;response status="400"/&gt;&lt;response status="405"/&gt;&lt;/method&gt;</v>
      </c>
      <c r="E48" s="1" t="str">
        <f>"&lt;method id="""&amp;Controls!F$1&amp;Controls!$B48&amp;""" name="""&amp;Controls!F$1&amp;""" wx:mode="""&amp;Controls!F48&amp;"""&gt;"&amp;IF(Controls!B48="MirrorUsagePoint",Var!$B$21,"&lt;request&gt;&lt;representation mediaType="""&amp;Var!$B$18&amp;""" element=""sep:"&amp;Controls!$V48&amp;"""/&gt;&lt;representation mediaType="""&amp;Var!$B$19&amp;""" element=""sep:"&amp;Controls!$V48&amp;"""/&gt;&lt;/request&gt;")&amp;IF(Controls!F48="E","&lt;response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id="POSTDemandResponseProgramList" name="POST" wx:mode="D"&gt;&lt;request&gt;&lt;representation mediaType="application/sep+xml" element="sep:DemandResponseProgram"/&gt;&lt;representation mediaType="application/sep-exi" element="sep:DemandResponseProgram"/&gt;&lt;/request&gt;&lt;response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48" s="1" t="str">
        <f>"&lt;method id="""&amp;Controls!G$1&amp;Controls!$B48&amp;""" name="""&amp;Controls!G$1&amp;""" wx:mode="""&amp;Controls!G48&amp;"""&gt;"&amp;IF(Controls!G48="E","&lt;response status=""400""/&gt;&lt;response status=""405""/&gt;","&lt;response&gt;&lt;representation mediaType=""application/xml"" element=""sep:"&amp;Controls!$V48&amp;"""/&gt;&lt;/response&gt;")&amp;"&lt;/method&gt;"</f>
        <v>&lt;method id="DELETEDemandResponseProgramList" name="DELETE" wx:mode="E"&gt;&lt;response status="400"/&gt;&lt;response status="405"/&gt;&lt;/method&gt;</v>
      </c>
      <c r="G48" s="1" t="str">
        <f ca="1">IF(ISBLANK(Controls!B48),"",OFFSET(Var!B$11,Controls!O48,0)&amp;"&lt;/resource&gt;")</f>
        <v>&lt;/resource&gt;</v>
      </c>
      <c r="I48" s="6" t="str">
        <f>IF(Controls!K48,"&lt;request&gt;&lt;param name=""s"" style=""query"" type=""xsd:int""&gt;&lt;doc&gt;start&lt;/doc&gt;&lt;/param&gt;"&amp;IF(Controls!L48,"&lt;param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49" spans="1:9" ht="49.5" customHeight="1">
      <c r="A49" s="1" t="str">
        <f>"&lt;resource id="""&amp;Controls!B49&amp;""" "&amp;IF(0,"path=""{"&amp;Controls!B49&amp;"Path}""","")&amp;" wx:samplePath="""&amp;Controls!C49&amp;"""&gt;&lt;doc title="""&amp;Controls!$B49&amp;"""&gt;"&amp;Controls!P49&amp;"&lt;/doc&gt;"</f>
        <v>&lt;resource id="DemandResponseProgram"  wx:samplePath="/dr/{id1}"&gt;&lt;doc title="DemandResponseProgram"&gt;Specific DemandResponseProgram resource.  This resource can be thought of as a particular DemandResponseProgram endpoint.  &lt;/doc&gt;</v>
      </c>
      <c r="B49" s="1" t="str">
        <f>"&lt;method id="""&amp;Controls!D$1&amp;Controls!$B49&amp;""" name="""&amp;Controls!D$1&amp;""" wx:mode="""&amp;Controls!D49&amp;"""&gt;"&amp;IF(Controls!D49="E","&lt;response status=""400""/&gt;&lt;response status=""405""/&gt;",I49&amp;"&lt;response&gt;&lt;representation mediaType="""&amp;Var!$B$18&amp;""" element=""sep:"&amp;Controls!$W49&amp;"""/&gt;&lt;representation mediaType="""&amp;Var!$B$19&amp;""" element=""sep:"&amp;Controls!$W49&amp;"""/&gt;&lt;/response&gt;")&amp;"&lt;/method&gt;"</f>
        <v>&lt;method id="GETDemandResponseProgram" name="GET" wx:mode="M"&gt;&lt;response&gt;&lt;representation mediaType="application/sep+xml" element="sep:DemandResponseProgram"/&gt;&lt;representation mediaType="application/sep-exi" element="sep:DemandResponseProgram"/&gt;&lt;/response&gt;&lt;/method&gt;</v>
      </c>
      <c r="C49" s="1" t="str">
        <f>"&lt;method id=""HEAD"&amp;Controls!$B49&amp;""" name=""HEAD"" wx:mode="""&amp;Controls!D49&amp;"""/&gt;"</f>
        <v>&lt;method id="HEADDemandResponseProgram" name="HEAD" wx:mode="M"/&gt;</v>
      </c>
      <c r="D49" s="1" t="str">
        <f>"&lt;method id="""&amp;Controls!E$1&amp;Controls!$B49&amp;""" name="""&amp;Controls!E$1&amp;""" wx:mode="""&amp;Controls!E49&amp;"""&gt;&lt;request&gt;&lt;representation mediaType="""&amp;Var!$B$18&amp;""" element=""sep:"&amp;Controls!$V49&amp;"""/&gt;&lt;representation mediaType="""&amp;Var!$B$19&amp;""" element=""sep:"&amp;Controls!$V49&amp;"""/&gt;&lt;/request&gt;"&amp;IF(Controls!E49="E","&lt;response status=""400""/&gt;&lt;response status=""405""/&gt;","")&amp;"&lt;/method&gt;"</f>
        <v>&lt;method id="PUTDemandResponseProgram" name="PUT" wx:mode="E"&gt;&lt;request&gt;&lt;representation mediaType="application/sep+xml" element="sep:DemandResponseProgram"/&gt;&lt;representation mediaType="application/sep-exi" element="sep:DemandResponseProgram"/&gt;&lt;/request&gt;&lt;response status="400"/&gt;&lt;response status="405"/&gt;&lt;/method&gt;</v>
      </c>
      <c r="E49" s="1" t="str">
        <f>"&lt;method id="""&amp;Controls!F$1&amp;Controls!$B49&amp;""" name="""&amp;Controls!F$1&amp;""" wx:mode="""&amp;Controls!F49&amp;"""&gt;"&amp;IF(Controls!B49="MirrorUsagePoint",Var!$B$21,"&lt;request&gt;&lt;representation mediaType="""&amp;Var!$B$18&amp;""" element=""sep:"&amp;Controls!$V49&amp;"""/&gt;&lt;representation mediaType="""&amp;Var!$B$19&amp;""" element=""sep:"&amp;Controls!$V49&amp;"""/&gt;&lt;/request&gt;")&amp;IF(Controls!F49="E","&lt;response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id="POSTDemandResponseProgram" name="POST" wx:mode="E"&gt;&lt;request&gt;&lt;representation mediaType="application/sep+xml" element="sep:DemandResponseProgram"/&gt;&lt;representation mediaType="application/sep-exi" element="sep:DemandResponseProgram"/&gt;&lt;/request&gt;&lt;response status="400"/&gt;&lt;response status="405"/&gt;&lt;/method&gt;</v>
      </c>
      <c r="F49" s="1" t="str">
        <f>"&lt;method id="""&amp;Controls!G$1&amp;Controls!$B49&amp;""" name="""&amp;Controls!G$1&amp;""" wx:mode="""&amp;Controls!G49&amp;"""&gt;"&amp;IF(Controls!G49="E","&lt;response status=""400""/&gt;&lt;response status=""405""/&gt;","&lt;response&gt;&lt;representation mediaType=""application/xml"" element=""sep:"&amp;Controls!$V49&amp;"""/&gt;&lt;/response&gt;")&amp;"&lt;/method&gt;"</f>
        <v>&lt;method id="DELETEDemandResponseProgram" name="DELETE" wx:mode="D"&gt;&lt;response&gt;&lt;representation mediaType="application/xml" element="sep:DemandResponseProgram"/&gt;&lt;/response&gt;&lt;/method&gt;</v>
      </c>
      <c r="G49" s="1" t="str">
        <f ca="1">IF(ISBLANK(Controls!B49),"",OFFSET(Var!B$11,Controls!O49,0)&amp;"&lt;/resource&gt;")</f>
        <v>&lt;wx:sampleParam name="id1" style="template" type="idType"/&gt;&lt;/resource&gt;</v>
      </c>
      <c r="I49" s="6" t="str">
        <f>IF(Controls!K49,"&lt;request&gt;&lt;param name=""s"" style=""query"" type=""xsd:int""&gt;&lt;doc&gt;start&lt;/doc&gt;&lt;/param&gt;"&amp;IF(Controls!L49,"&lt;param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50" spans="1:9" ht="49.5" customHeight="1">
      <c r="A50" s="1" t="str">
        <f>"&lt;resource id="""&amp;Controls!B50&amp;""" "&amp;IF(0,"path=""{"&amp;Controls!B50&amp;"Path}""","")&amp;" wx:samplePath="""&amp;Controls!C50&amp;"""&gt;&lt;doc title="""&amp;Controls!$B50&amp;"""&gt;"&amp;Controls!P50&amp;"&lt;/doc&gt;"</f>
        <v>&lt;resource id="ActiveEndDeviceControlList"  wx:samplePath="/dr/{id1}/actedc"&gt;&lt;doc title="ActiveEndDeviceControlList"&gt;List of EndDeviceControls that are currently active. &lt;/doc&gt;</v>
      </c>
      <c r="B50" s="1" t="str">
        <f>"&lt;method id="""&amp;Controls!D$1&amp;Controls!$B50&amp;""" name="""&amp;Controls!D$1&amp;""" wx:mode="""&amp;Controls!D50&amp;"""&gt;"&amp;IF(Controls!D50="E","&lt;response status=""400""/&gt;&lt;response status=""405""/&gt;",I50&amp;"&lt;response&gt;&lt;representation mediaType="""&amp;Var!$B$18&amp;""" element=""sep:"&amp;Controls!$W50&amp;"""/&gt;&lt;representation mediaType="""&amp;Var!$B$19&amp;""" element=""sep:"&amp;Controls!$W50&amp;"""/&gt;&lt;/response&gt;")&amp;"&lt;/method&gt;"</f>
        <v>&lt;method id="GETActiveEndDeviceControlList"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element="sep:EndDeviceControlList"/&gt;&lt;representation mediaType="application/sep-exi" element="sep:EndDeviceControlList"/&gt;&lt;/response&gt;&lt;/method&gt;</v>
      </c>
      <c r="C50" s="1" t="str">
        <f>"&lt;method id=""HEAD"&amp;Controls!$B50&amp;""" name=""HEAD"" wx:mode="""&amp;Controls!D50&amp;"""/&gt;"</f>
        <v>&lt;method id="HEADActiveEndDeviceControlList" name="HEAD" wx:mode="M"/&gt;</v>
      </c>
      <c r="D50" s="1" t="str">
        <f>"&lt;method id="""&amp;Controls!E$1&amp;Controls!$B50&amp;""" name="""&amp;Controls!E$1&amp;""" wx:mode="""&amp;Controls!E50&amp;"""&gt;&lt;request&gt;&lt;representation mediaType="""&amp;Var!$B$18&amp;""" element=""sep:"&amp;Controls!$V50&amp;"""/&gt;&lt;representation mediaType="""&amp;Var!$B$19&amp;""" element=""sep:"&amp;Controls!$V50&amp;"""/&gt;&lt;/request&gt;"&amp;IF(Controls!E50="E","&lt;response status=""400""/&gt;&lt;response status=""405""/&gt;","")&amp;"&lt;/method&gt;"</f>
        <v>&lt;method id="PUTActiveEndDeviceControlList" name="PUT" wx:mode="E"&gt;&lt;request&gt;&lt;representation mediaType="application/sep+xml" element="sep:EndDeviceControl"/&gt;&lt;representation mediaType="application/sep-exi" element="sep:EndDeviceControl"/&gt;&lt;/request&gt;&lt;response status="400"/&gt;&lt;response status="405"/&gt;&lt;/method&gt;</v>
      </c>
      <c r="E50" s="1" t="str">
        <f>"&lt;method id="""&amp;Controls!F$1&amp;Controls!$B50&amp;""" name="""&amp;Controls!F$1&amp;""" wx:mode="""&amp;Controls!F50&amp;"""&gt;"&amp;IF(Controls!B50="MirrorUsagePoint",Var!$B$21,"&lt;request&gt;&lt;representation mediaType="""&amp;Var!$B$18&amp;""" element=""sep:"&amp;Controls!$V50&amp;"""/&gt;&lt;representation mediaType="""&amp;Var!$B$19&amp;""" element=""sep:"&amp;Controls!$V50&amp;"""/&gt;&lt;/request&gt;")&amp;IF(Controls!F50="E","&lt;response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id="POSTActiveEndDeviceControlList" name="POST" wx:mode="E"&gt;&lt;request&gt;&lt;representation mediaType="application/sep+xml" element="sep:EndDeviceControl"/&gt;&lt;representation mediaType="application/sep-exi" element="sep:EndDeviceControl"/&gt;&lt;/request&gt;&lt;response status="400"/&gt;&lt;response status="405"/&gt;&lt;/method&gt;</v>
      </c>
      <c r="F50" s="1" t="str">
        <f>"&lt;method id="""&amp;Controls!G$1&amp;Controls!$B50&amp;""" name="""&amp;Controls!G$1&amp;""" wx:mode="""&amp;Controls!G50&amp;"""&gt;"&amp;IF(Controls!G50="E","&lt;response status=""400""/&gt;&lt;response status=""405""/&gt;","&lt;response&gt;&lt;representation mediaType=""application/xml"" element=""sep:"&amp;Controls!$V50&amp;"""/&gt;&lt;/response&gt;")&amp;"&lt;/method&gt;"</f>
        <v>&lt;method id="DELETEActiveEndDeviceControlList" name="DELETE" wx:mode="E"&gt;&lt;response status="400"/&gt;&lt;response status="405"/&gt;&lt;/method&gt;</v>
      </c>
      <c r="G50" s="1" t="str">
        <f ca="1">IF(ISBLANK(Controls!B50),"",OFFSET(Var!B$11,Controls!O50,0)&amp;"&lt;/resource&gt;")</f>
        <v>&lt;wx:sampleParam name="id1" style="template" type="idType"/&gt;&lt;/resource&gt;</v>
      </c>
      <c r="I50" s="6" t="str">
        <f>IF(Controls!K50,"&lt;request&gt;&lt;param name=""s"" style=""query"" type=""xsd:int""&gt;&lt;doc&gt;start&lt;/doc&gt;&lt;/param&gt;"&amp;IF(Controls!L50,"&lt;param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51" spans="1:9" ht="49.5" customHeight="1">
      <c r="A51" s="1" t="str">
        <f>"&lt;resource id="""&amp;Controls!B51&amp;""" "&amp;IF(0,"path=""{"&amp;Controls!B51&amp;"Path}""","")&amp;" wx:samplePath="""&amp;Controls!C51&amp;"""&gt;&lt;doc title="""&amp;Controls!$B51&amp;"""&gt;"&amp;Controls!P51&amp;"&lt;/doc&gt;"</f>
        <v>&lt;resource id="EndDeviceControlList"  wx:samplePath="/dr/{id1}/edc"&gt;&lt;doc title="EndDeviceControlList"&gt;List of EndDeviceControls.  Devices implementing the EndDeviceControlList resource MAY support multiple EndDeviceControls.&lt;/doc&gt;</v>
      </c>
      <c r="B51" s="1" t="str">
        <f>"&lt;method id="""&amp;Controls!D$1&amp;Controls!$B51&amp;""" name="""&amp;Controls!D$1&amp;""" wx:mode="""&amp;Controls!D51&amp;"""&gt;"&amp;IF(Controls!D51="E","&lt;response status=""400""/&gt;&lt;response status=""405""/&gt;",I51&amp;"&lt;response&gt;&lt;representation mediaType="""&amp;Var!$B$18&amp;""" element=""sep:"&amp;Controls!$W51&amp;"""/&gt;&lt;representation mediaType="""&amp;Var!$B$19&amp;""" element=""sep:"&amp;Controls!$W51&amp;"""/&gt;&lt;/response&gt;")&amp;"&lt;/method&gt;"</f>
        <v>&lt;method id="GETEndDeviceControlList"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element="sep:EndDeviceControlList"/&gt;&lt;representation mediaType="application/sep-exi" element="sep:EndDeviceControlList"/&gt;&lt;/response&gt;&lt;/method&gt;</v>
      </c>
      <c r="C51" s="1" t="str">
        <f>"&lt;method id=""HEAD"&amp;Controls!$B51&amp;""" name=""HEAD"" wx:mode="""&amp;Controls!D51&amp;"""/&gt;"</f>
        <v>&lt;method id="HEADEndDeviceControlList" name="HEAD" wx:mode="M"/&gt;</v>
      </c>
      <c r="D51" s="1" t="str">
        <f>"&lt;method id="""&amp;Controls!E$1&amp;Controls!$B51&amp;""" name="""&amp;Controls!E$1&amp;""" wx:mode="""&amp;Controls!E51&amp;"""&gt;&lt;request&gt;&lt;representation mediaType="""&amp;Var!$B$18&amp;""" element=""sep:"&amp;Controls!$V51&amp;"""/&gt;&lt;representation mediaType="""&amp;Var!$B$19&amp;""" element=""sep:"&amp;Controls!$V51&amp;"""/&gt;&lt;/request&gt;"&amp;IF(Controls!E51="E","&lt;response status=""400""/&gt;&lt;response status=""405""/&gt;","")&amp;"&lt;/method&gt;"</f>
        <v>&lt;method id="PUTEndDeviceControlList" name="PUT" wx:mode="E"&gt;&lt;request&gt;&lt;representation mediaType="application/sep+xml" element="sep:EndDeviceControl"/&gt;&lt;representation mediaType="application/sep-exi" element="sep:EndDeviceControl"/&gt;&lt;/request&gt;&lt;response status="400"/&gt;&lt;response status="405"/&gt;&lt;/method&gt;</v>
      </c>
      <c r="E51" s="1" t="str">
        <f>"&lt;method id="""&amp;Controls!F$1&amp;Controls!$B51&amp;""" name="""&amp;Controls!F$1&amp;""" wx:mode="""&amp;Controls!F51&amp;"""&gt;"&amp;IF(Controls!B51="MirrorUsagePoint",Var!$B$21,"&lt;request&gt;&lt;representation mediaType="""&amp;Var!$B$18&amp;""" element=""sep:"&amp;Controls!$V51&amp;"""/&gt;&lt;representation mediaType="""&amp;Var!$B$19&amp;""" element=""sep:"&amp;Controls!$V51&amp;"""/&gt;&lt;/request&gt;")&amp;IF(Controls!F51="E","&lt;response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id="POSTEndDeviceControlList" name="POST" wx:mode="D"&gt;&lt;request&gt;&lt;representation mediaType="application/sep+xml" element="sep:EndDeviceControl"/&gt;&lt;representation mediaType="application/sep-exi" element="sep:EndDeviceControl"/&gt;&lt;/request&gt;&lt;response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51" s="1" t="str">
        <f>"&lt;method id="""&amp;Controls!G$1&amp;Controls!$B51&amp;""" name="""&amp;Controls!G$1&amp;""" wx:mode="""&amp;Controls!G51&amp;"""&gt;"&amp;IF(Controls!G51="E","&lt;response status=""400""/&gt;&lt;response status=""405""/&gt;","&lt;response&gt;&lt;representation mediaType=""application/xml"" element=""sep:"&amp;Controls!$V51&amp;"""/&gt;&lt;/response&gt;")&amp;"&lt;/method&gt;"</f>
        <v>&lt;method id="DELETEEndDeviceControlList" name="DELETE" wx:mode="E"&gt;&lt;response status="400"/&gt;&lt;response status="405"/&gt;&lt;/method&gt;</v>
      </c>
      <c r="G51" s="1" t="str">
        <f ca="1">IF(ISBLANK(Controls!B51),"",OFFSET(Var!B$11,Controls!O51,0)&amp;"&lt;/resource&gt;")</f>
        <v>&lt;wx:sampleParam name="id1" style="template" type="idType"/&gt;&lt;/resource&gt;</v>
      </c>
      <c r="I51" s="6" t="str">
        <f>IF(Controls!K51,"&lt;request&gt;&lt;param name=""s"" style=""query"" type=""xsd:int""&gt;&lt;doc&gt;start&lt;/doc&gt;&lt;/param&gt;"&amp;IF(Controls!L51,"&lt;param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52" spans="1:9" ht="49.5" customHeight="1">
      <c r="A52" s="1" t="str">
        <f>"&lt;resource id="""&amp;Controls!B52&amp;""" "&amp;IF(0,"path=""{"&amp;Controls!B52&amp;"Path}""","")&amp;" wx:samplePath="""&amp;Controls!C52&amp;"""&gt;&lt;doc title="""&amp;Controls!$B52&amp;"""&gt;"&amp;Controls!P52&amp;"&lt;/doc&gt;"</f>
        <v>&lt;resource id="EndDeviceControl"  wx:samplePath="/dr/{id1}/edc/{id2}"&gt;&lt;doc title="EndDeviceControl"&gt;Specific EndDeviceControl resource.  This resource can be thought of as a particular Demand Response / Load Control event for a period of time.&lt;/doc&gt;</v>
      </c>
      <c r="B52" s="1" t="str">
        <f>"&lt;method id="""&amp;Controls!D$1&amp;Controls!$B52&amp;""" name="""&amp;Controls!D$1&amp;""" wx:mode="""&amp;Controls!D52&amp;"""&gt;"&amp;IF(Controls!D52="E","&lt;response status=""400""/&gt;&lt;response status=""405""/&gt;",I52&amp;"&lt;response&gt;&lt;representation mediaType="""&amp;Var!$B$18&amp;""" element=""sep:"&amp;Controls!$W52&amp;"""/&gt;&lt;representation mediaType="""&amp;Var!$B$19&amp;""" element=""sep:"&amp;Controls!$W52&amp;"""/&gt;&lt;/response&gt;")&amp;"&lt;/method&gt;"</f>
        <v>&lt;method id="GETEndDeviceControl" name="GET" wx:mode="M"&gt;&lt;response&gt;&lt;representation mediaType="application/sep+xml" element="sep:EndDeviceControl"/&gt;&lt;representation mediaType="application/sep-exi" element="sep:EndDeviceControl"/&gt;&lt;/response&gt;&lt;/method&gt;</v>
      </c>
      <c r="C52" s="1" t="str">
        <f>"&lt;method id=""HEAD"&amp;Controls!$B52&amp;""" name=""HEAD"" wx:mode="""&amp;Controls!D52&amp;"""/&gt;"</f>
        <v>&lt;method id="HEADEndDeviceControl" name="HEAD" wx:mode="M"/&gt;</v>
      </c>
      <c r="D52" s="1" t="str">
        <f>"&lt;method id="""&amp;Controls!E$1&amp;Controls!$B52&amp;""" name="""&amp;Controls!E$1&amp;""" wx:mode="""&amp;Controls!E52&amp;"""&gt;&lt;request&gt;&lt;representation mediaType="""&amp;Var!$B$18&amp;""" element=""sep:"&amp;Controls!$V52&amp;"""/&gt;&lt;representation mediaType="""&amp;Var!$B$19&amp;""" element=""sep:"&amp;Controls!$V52&amp;"""/&gt;&lt;/request&gt;"&amp;IF(Controls!E52="E","&lt;response status=""400""/&gt;&lt;response status=""405""/&gt;","")&amp;"&lt;/method&gt;"</f>
        <v>&lt;method id="PUTEndDeviceControl" name="PUT" wx:mode="E"&gt;&lt;request&gt;&lt;representation mediaType="application/sep+xml" element="sep:EndDeviceControl"/&gt;&lt;representation mediaType="application/sep-exi" element="sep:EndDeviceControl"/&gt;&lt;/request&gt;&lt;response status="400"/&gt;&lt;response status="405"/&gt;&lt;/method&gt;</v>
      </c>
      <c r="E52" s="1" t="str">
        <f>"&lt;method id="""&amp;Controls!F$1&amp;Controls!$B52&amp;""" name="""&amp;Controls!F$1&amp;""" wx:mode="""&amp;Controls!F52&amp;"""&gt;"&amp;IF(Controls!B52="MirrorUsagePoint",Var!$B$21,"&lt;request&gt;&lt;representation mediaType="""&amp;Var!$B$18&amp;""" element=""sep:"&amp;Controls!$V52&amp;"""/&gt;&lt;representation mediaType="""&amp;Var!$B$19&amp;""" element=""sep:"&amp;Controls!$V52&amp;"""/&gt;&lt;/request&gt;")&amp;IF(Controls!F52="E","&lt;response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id="POSTEndDeviceControl" name="POST" wx:mode="E"&gt;&lt;request&gt;&lt;representation mediaType="application/sep+xml" element="sep:EndDeviceControl"/&gt;&lt;representation mediaType="application/sep-exi" element="sep:EndDeviceControl"/&gt;&lt;/request&gt;&lt;response status="400"/&gt;&lt;response status="405"/&gt;&lt;/method&gt;</v>
      </c>
      <c r="F52" s="1" t="str">
        <f>"&lt;method id="""&amp;Controls!G$1&amp;Controls!$B52&amp;""" name="""&amp;Controls!G$1&amp;""" wx:mode="""&amp;Controls!G52&amp;"""&gt;"&amp;IF(Controls!G52="E","&lt;response status=""400""/&gt;&lt;response status=""405""/&gt;","&lt;response&gt;&lt;representation mediaType=""application/xml"" element=""sep:"&amp;Controls!$V52&amp;"""/&gt;&lt;/response&gt;")&amp;"&lt;/method&gt;"</f>
        <v>&lt;method id="DELETEEndDeviceControl" name="DELETE" wx:mode="D"&gt;&lt;response&gt;&lt;representation mediaType="application/xml" element="sep:EndDeviceControl"/&gt;&lt;/response&gt;&lt;/method&gt;</v>
      </c>
      <c r="G52" s="1" t="str">
        <f ca="1">IF(ISBLANK(Controls!B52),"",OFFSET(Var!B$11,Controls!O52,0)&amp;"&lt;/resource&gt;")</f>
        <v>&lt;wx:sampleParam name="id1" style="template" type="idType"/&gt;&lt;wx:sampleParam name="id2" style="template" type="idType"/&gt;&lt;/resource&gt;</v>
      </c>
      <c r="I52" s="6" t="str">
        <f>IF(Controls!K52,"&lt;request&gt;&lt;param name=""s"" style=""query"" type=""xsd:int""&gt;&lt;doc&gt;start&lt;/doc&gt;&lt;/param&gt;"&amp;IF(Controls!L52,"&lt;param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53" spans="1:9" ht="49.5" customHeight="1">
      <c r="A53" s="1" t="str">
        <f>"&lt;resource id="""&amp;Controls!B53&amp;""" "&amp;IF(0,"path=""{"&amp;Controls!B53&amp;"Path}""","")&amp;" wx:samplePath="""&amp;Controls!C53&amp;"""&gt;&lt;doc title="""&amp;Controls!$B53&amp;"""&gt;"&amp;Controls!P53&amp;"&lt;/doc&gt;"</f>
        <v>&lt;resource id="LoadShedAvailabilityList"  wx:samplePath="/edev/{id1}/lsl"&gt;&lt;doc title="LoadShedAvailabilityList"&gt;A List of LoadShedAvailability instances.&lt;/doc&gt;</v>
      </c>
      <c r="B53" s="1" t="str">
        <f>"&lt;method id="""&amp;Controls!D$1&amp;Controls!$B53&amp;""" name="""&amp;Controls!D$1&amp;""" wx:mode="""&amp;Controls!D53&amp;"""&gt;"&amp;IF(Controls!D53="E","&lt;response status=""400""/&gt;&lt;response status=""405""/&gt;",I53&amp;"&lt;response&gt;&lt;representation mediaType="""&amp;Var!$B$18&amp;""" element=""sep:"&amp;Controls!$W53&amp;"""/&gt;&lt;representation mediaType="""&amp;Var!$B$19&amp;""" element=""sep:"&amp;Controls!$W53&amp;"""/&gt;&lt;/response&gt;")&amp;"&lt;/method&gt;"</f>
        <v>&lt;method id="GETLoadShedAvailabilityList"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element="sep:LoadShedAvailabilityList"/&gt;&lt;representation mediaType="application/sep-exi" element="sep:LoadShedAvailabilityList"/&gt;&lt;/response&gt;&lt;/method&gt;</v>
      </c>
      <c r="C53" s="1" t="str">
        <f>"&lt;method id=""HEAD"&amp;Controls!$B53&amp;""" name=""HEAD"" wx:mode="""&amp;Controls!D53&amp;"""/&gt;"</f>
        <v>&lt;method id="HEADLoadShedAvailabilityList" name="HEAD" wx:mode="M"/&gt;</v>
      </c>
      <c r="D53" s="1" t="str">
        <f>"&lt;method id="""&amp;Controls!E$1&amp;Controls!$B53&amp;""" name="""&amp;Controls!E$1&amp;""" wx:mode="""&amp;Controls!E53&amp;"""&gt;&lt;request&gt;&lt;representation mediaType="""&amp;Var!$B$18&amp;""" element=""sep:"&amp;Controls!$V53&amp;"""/&gt;&lt;representation mediaType="""&amp;Var!$B$19&amp;""" element=""sep:"&amp;Controls!$V53&amp;"""/&gt;&lt;/request&gt;"&amp;IF(Controls!E53="E","&lt;response status=""400""/&gt;&lt;response status=""405""/&gt;","")&amp;"&lt;/method&gt;"</f>
        <v>&lt;method id="PUTLoadShedAvailabilityList" name="PUT" wx:mode="E"&gt;&lt;request&gt;&lt;representation mediaType="application/sep+xml" element="sep:LoadShedAvailability"/&gt;&lt;representation mediaType="application/sep-exi" element="sep:LoadShedAvailability"/&gt;&lt;/request&gt;&lt;response status="400"/&gt;&lt;response status="405"/&gt;&lt;/method&gt;</v>
      </c>
      <c r="E53" s="1" t="str">
        <f>"&lt;method id="""&amp;Controls!F$1&amp;Controls!$B53&amp;""" name="""&amp;Controls!F$1&amp;""" wx:mode="""&amp;Controls!F53&amp;"""&gt;"&amp;IF(Controls!B53="MirrorUsagePoint",Var!$B$21,"&lt;request&gt;&lt;representation mediaType="""&amp;Var!$B$18&amp;""" element=""sep:"&amp;Controls!$V53&amp;"""/&gt;&lt;representation mediaType="""&amp;Var!$B$19&amp;""" element=""sep:"&amp;Controls!$V53&amp;"""/&gt;&lt;/request&gt;")&amp;IF(Controls!F53="E","&lt;response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id="POSTLoadShedAvailabilityList" name="POST" wx:mode="M"&gt;&lt;request&gt;&lt;representation mediaType="application/sep+xml" element="sep:LoadShedAvailability"/&gt;&lt;representation mediaType="application/sep-exi" element="sep:LoadShedAvailability"/&gt;&lt;/request&gt;&lt;response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53" s="1" t="str">
        <f>"&lt;method id="""&amp;Controls!G$1&amp;Controls!$B53&amp;""" name="""&amp;Controls!G$1&amp;""" wx:mode="""&amp;Controls!G53&amp;"""&gt;"&amp;IF(Controls!G53="E","&lt;response status=""400""/&gt;&lt;response status=""405""/&gt;","&lt;response&gt;&lt;representation mediaType=""application/xml"" element=""sep:"&amp;Controls!$V53&amp;"""/&gt;&lt;/response&gt;")&amp;"&lt;/method&gt;"</f>
        <v>&lt;method id="DELETELoadShedAvailabilityList" name="DELETE" wx:mode="E"&gt;&lt;response status="400"/&gt;&lt;response status="405"/&gt;&lt;/method&gt;</v>
      </c>
      <c r="G53" s="1" t="str">
        <f ca="1">IF(ISBLANK(Controls!B53),"",OFFSET(Var!B$11,Controls!O53,0)&amp;"&lt;/resource&gt;")</f>
        <v>&lt;wx:sampleParam name="id1" style="template" type="idType"/&gt;&lt;/resource&gt;</v>
      </c>
      <c r="I53" s="6" t="str">
        <f>IF(Controls!K53,"&lt;request&gt;&lt;param name=""s"" style=""query"" type=""xsd:int""&gt;&lt;doc&gt;start&lt;/doc&gt;&lt;/param&gt;"&amp;IF(Controls!L53,"&lt;param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54" spans="1:9" ht="49.5" customHeight="1">
      <c r="A54" s="1" t="str">
        <f>"&lt;resource id="""&amp;Controls!B54&amp;""" "&amp;IF(0,"path=""{"&amp;Controls!B54&amp;"Path}""","")&amp;" wx:samplePath="""&amp;Controls!C54&amp;"""&gt;&lt;doc title="""&amp;Controls!$B54&amp;"""&gt;"&amp;Controls!P54&amp;"&lt;/doc&gt;"</f>
        <v>&lt;resource id="LoadShedAvailability"  wx:samplePath="/edev/{id1}/lsl/{id2}"&gt;&lt;doc title="LoadShedAvailability"&gt;A specific LoadShedAvailability entry from the LoadShedAvailabilityList. &lt;/doc&gt;</v>
      </c>
      <c r="B54" s="1" t="str">
        <f>"&lt;method id="""&amp;Controls!D$1&amp;Controls!$B54&amp;""" name="""&amp;Controls!D$1&amp;""" wx:mode="""&amp;Controls!D54&amp;"""&gt;"&amp;IF(Controls!D54="E","&lt;response status=""400""/&gt;&lt;response status=""405""/&gt;",I54&amp;"&lt;response&gt;&lt;representation mediaType="""&amp;Var!$B$18&amp;""" element=""sep:"&amp;Controls!$W54&amp;"""/&gt;&lt;representation mediaType="""&amp;Var!$B$19&amp;""" element=""sep:"&amp;Controls!$W54&amp;"""/&gt;&lt;/response&gt;")&amp;"&lt;/method&gt;"</f>
        <v>&lt;method id="GETLoadShedAvailability" name="GET" wx:mode="M"&gt;&lt;response&gt;&lt;representation mediaType="application/sep+xml" element="sep:LoadShedAvailability"/&gt;&lt;representation mediaType="application/sep-exi" element="sep:LoadShedAvailability"/&gt;&lt;/response&gt;&lt;/method&gt;</v>
      </c>
      <c r="C54" s="1" t="str">
        <f>"&lt;method id=""HEAD"&amp;Controls!$B54&amp;""" name=""HEAD"" wx:mode="""&amp;Controls!D54&amp;"""/&gt;"</f>
        <v>&lt;method id="HEADLoadShedAvailability" name="HEAD" wx:mode="M"/&gt;</v>
      </c>
      <c r="D54" s="1" t="str">
        <f>"&lt;method id="""&amp;Controls!E$1&amp;Controls!$B54&amp;""" name="""&amp;Controls!E$1&amp;""" wx:mode="""&amp;Controls!E54&amp;"""&gt;&lt;request&gt;&lt;representation mediaType="""&amp;Var!$B$18&amp;""" element=""sep:"&amp;Controls!$V54&amp;"""/&gt;&lt;representation mediaType="""&amp;Var!$B$19&amp;""" element=""sep:"&amp;Controls!$V54&amp;"""/&gt;&lt;/request&gt;"&amp;IF(Controls!E54="E","&lt;response status=""400""/&gt;&lt;response status=""405""/&gt;","")&amp;"&lt;/method&gt;"</f>
        <v>&lt;method id="PUTLoadShedAvailability" name="PUT" wx:mode="O"&gt;&lt;request&gt;&lt;representation mediaType="application/sep+xml" element="sep:LoadShedAvailability"/&gt;&lt;representation mediaType="application/sep-exi" element="sep:LoadShedAvailability"/&gt;&lt;/request&gt;&lt;/method&gt;</v>
      </c>
      <c r="E54" s="1" t="str">
        <f>"&lt;method id="""&amp;Controls!F$1&amp;Controls!$B54&amp;""" name="""&amp;Controls!F$1&amp;""" wx:mode="""&amp;Controls!F54&amp;"""&gt;"&amp;IF(Controls!B54="MirrorUsagePoint",Var!$B$21,"&lt;request&gt;&lt;representation mediaType="""&amp;Var!$B$18&amp;""" element=""sep:"&amp;Controls!$V54&amp;"""/&gt;&lt;representation mediaType="""&amp;Var!$B$19&amp;""" element=""sep:"&amp;Controls!$V54&amp;"""/&gt;&lt;/request&gt;")&amp;IF(Controls!F54="E","&lt;response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id="POSTLoadShedAvailability" name="POST" wx:mode="E"&gt;&lt;request&gt;&lt;representation mediaType="application/sep+xml" element="sep:LoadShedAvailability"/&gt;&lt;representation mediaType="application/sep-exi" element="sep:LoadShedAvailability"/&gt;&lt;/request&gt;&lt;response status="400"/&gt;&lt;response status="405"/&gt;&lt;/method&gt;</v>
      </c>
      <c r="F54" s="1" t="str">
        <f>"&lt;method id="""&amp;Controls!G$1&amp;Controls!$B54&amp;""" name="""&amp;Controls!G$1&amp;""" wx:mode="""&amp;Controls!G54&amp;"""&gt;"&amp;IF(Controls!G54="E","&lt;response status=""400""/&gt;&lt;response status=""405""/&gt;","&lt;response&gt;&lt;representation mediaType=""application/xml"" element=""sep:"&amp;Controls!$V54&amp;"""/&gt;&lt;/response&gt;")&amp;"&lt;/method&gt;"</f>
        <v>&lt;method id="DELETELoadShedAvailability" name="DELETE" wx:mode="M"&gt;&lt;response&gt;&lt;representation mediaType="application/xml" element="sep:LoadShedAvailability"/&gt;&lt;/response&gt;&lt;/method&gt;</v>
      </c>
      <c r="G54" s="1" t="str">
        <f ca="1">IF(ISBLANK(Controls!B54),"",OFFSET(Var!B$11,Controls!O54,0)&amp;"&lt;/resource&gt;")</f>
        <v>&lt;wx:sampleParam name="id1" style="template" type="idType"/&gt;&lt;wx:sampleParam name="id2" style="template" type="idType"/&gt;&lt;/resource&gt;</v>
      </c>
      <c r="I54" s="6" t="str">
        <f>IF(Controls!K54,"&lt;request&gt;&lt;param name=""s"" style=""query"" type=""xsd:int""&gt;&lt;doc&gt;start&lt;/doc&gt;&lt;/param&gt;"&amp;IF(Controls!L54,"&lt;param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55" spans="1:9" ht="49.5" customHeight="1">
      <c r="A55" s="1" t="str">
        <f>"&lt;resource id="""&amp;Controls!B55&amp;""" "&amp;IF(0,"path=""{"&amp;Controls!B55&amp;"Path}""","")&amp;" wx:samplePath="""&amp;Controls!C55&amp;"""&gt;&lt;doc title="""&amp;Controls!$B55&amp;"""&gt;"&amp;Controls!P55&amp;"&lt;/doc&gt;"</f>
        <v>&lt;resource id="UsagePointList"  wx:samplePath="/upt"&gt;&lt;doc title="UsagePointList"&gt;Usage point resource list. Devices implementing the UsagePointList resource MAY support multiple instances of usage points. &lt;/doc&gt;</v>
      </c>
      <c r="B55" s="1" t="str">
        <f>"&lt;method id="""&amp;Controls!D$1&amp;Controls!$B55&amp;""" name="""&amp;Controls!D$1&amp;""" wx:mode="""&amp;Controls!D55&amp;"""&gt;"&amp;IF(Controls!D55="E","&lt;response status=""400""/&gt;&lt;response status=""405""/&gt;",I55&amp;"&lt;response&gt;&lt;representation mediaType="""&amp;Var!$B$18&amp;""" element=""sep:"&amp;Controls!$W55&amp;"""/&gt;&lt;representation mediaType="""&amp;Var!$B$19&amp;""" element=""sep:"&amp;Controls!$W55&amp;"""/&gt;&lt;/response&gt;")&amp;"&lt;/method&gt;"</f>
        <v>&lt;method id="GETUsagePointList"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element="sep:UsagePointList"/&gt;&lt;representation mediaType="application/sep-exi" element="sep:UsagePointList"/&gt;&lt;/response&gt;&lt;/method&gt;</v>
      </c>
      <c r="C55" s="1" t="str">
        <f>"&lt;method id=""HEAD"&amp;Controls!$B55&amp;""" name=""HEAD"" wx:mode="""&amp;Controls!D55&amp;"""/&gt;"</f>
        <v>&lt;method id="HEADUsagePointList" name="HEAD" wx:mode="M"/&gt;</v>
      </c>
      <c r="D55" s="1" t="str">
        <f>"&lt;method id="""&amp;Controls!E$1&amp;Controls!$B55&amp;""" name="""&amp;Controls!E$1&amp;""" wx:mode="""&amp;Controls!E55&amp;"""&gt;&lt;request&gt;&lt;representation mediaType="""&amp;Var!$B$18&amp;""" element=""sep:"&amp;Controls!$V55&amp;"""/&gt;&lt;representation mediaType="""&amp;Var!$B$19&amp;""" element=""sep:"&amp;Controls!$V55&amp;"""/&gt;&lt;/request&gt;"&amp;IF(Controls!E55="E","&lt;response status=""400""/&gt;&lt;response status=""405""/&gt;","")&amp;"&lt;/method&gt;"</f>
        <v>&lt;method id="PUTUsagePointList" name="PUT" wx:mode="E"&gt;&lt;request&gt;&lt;representation mediaType="application/sep+xml" element="sep:UsagePoint"/&gt;&lt;representation mediaType="application/sep-exi" element="sep:UsagePoint"/&gt;&lt;/request&gt;&lt;response status="400"/&gt;&lt;response status="405"/&gt;&lt;/method&gt;</v>
      </c>
      <c r="E55" s="1" t="str">
        <f>"&lt;method id="""&amp;Controls!F$1&amp;Controls!$B55&amp;""" name="""&amp;Controls!F$1&amp;""" wx:mode="""&amp;Controls!F55&amp;"""&gt;"&amp;IF(Controls!B55="MirrorUsagePoint",Var!$B$21,"&lt;request&gt;&lt;representation mediaType="""&amp;Var!$B$18&amp;""" element=""sep:"&amp;Controls!$V55&amp;"""/&gt;&lt;representation mediaType="""&amp;Var!$B$19&amp;""" element=""sep:"&amp;Controls!$V55&amp;"""/&gt;&lt;/request&gt;")&amp;IF(Controls!F55="E","&lt;response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id="POSTUsagePointList" name="POST" wx:mode="O"&gt;&lt;request&gt;&lt;representation mediaType="application/sep+xml" element="sep:UsagePoint"/&gt;&lt;representation mediaType="application/sep-exi" element="sep:UsagePoint"/&gt;&lt;/request&gt;&lt;response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55" s="1" t="str">
        <f>"&lt;method id="""&amp;Controls!G$1&amp;Controls!$B55&amp;""" name="""&amp;Controls!G$1&amp;""" wx:mode="""&amp;Controls!G55&amp;"""&gt;"&amp;IF(Controls!G55="E","&lt;response status=""400""/&gt;&lt;response status=""405""/&gt;","&lt;response&gt;&lt;representation mediaType=""application/xml"" element=""sep:"&amp;Controls!$V55&amp;"""/&gt;&lt;/response&gt;")&amp;"&lt;/method&gt;"</f>
        <v>&lt;method id="DELETEUsagePointList" name="DELETE" wx:mode="E"&gt;&lt;response status="400"/&gt;&lt;response status="405"/&gt;&lt;/method&gt;</v>
      </c>
      <c r="G55" s="1" t="str">
        <f ca="1">IF(ISBLANK(Controls!B55),"",OFFSET(Var!B$11,Controls!O55,0)&amp;"&lt;/resource&gt;")</f>
        <v>&lt;/resource&gt;</v>
      </c>
      <c r="I55" s="6" t="str">
        <f>IF(Controls!K55,"&lt;request&gt;&lt;param name=""s"" style=""query"" type=""xsd:int""&gt;&lt;doc&gt;start&lt;/doc&gt;&lt;/param&gt;"&amp;IF(Controls!L55,"&lt;param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56" spans="1:9" ht="49.5" customHeight="1">
      <c r="A56" s="1" t="str">
        <f>"&lt;resource id="""&amp;Controls!B56&amp;""" "&amp;IF(0,"path=""{"&amp;Controls!B56&amp;"Path}""","")&amp;" wx:samplePath="""&amp;Controls!C56&amp;"""&gt;&lt;doc title="""&amp;Controls!$B56&amp;"""&gt;"&amp;Controls!P56&amp;"&lt;/doc&gt;"</f>
        <v>&lt;resource id="UsagePoint"  wx:samplePath="/upt/{id1}"&gt;&lt;doc title="UsagePoint"&gt;Usage point instance including links to associated information. &lt;/doc&gt;</v>
      </c>
      <c r="B56" s="1" t="str">
        <f>"&lt;method id="""&amp;Controls!D$1&amp;Controls!$B56&amp;""" name="""&amp;Controls!D$1&amp;""" wx:mode="""&amp;Controls!D56&amp;"""&gt;"&amp;IF(Controls!D56="E","&lt;response status=""400""/&gt;&lt;response status=""405""/&gt;",I56&amp;"&lt;response&gt;&lt;representation mediaType="""&amp;Var!$B$18&amp;""" element=""sep:"&amp;Controls!$W56&amp;"""/&gt;&lt;representation mediaType="""&amp;Var!$B$19&amp;""" element=""sep:"&amp;Controls!$W56&amp;"""/&gt;&lt;/response&gt;")&amp;"&lt;/method&gt;"</f>
        <v>&lt;method id="GETUsagePoint" name="GET" wx:mode="M"&gt;&lt;response&gt;&lt;representation mediaType="application/sep+xml" element="sep:UsagePoint"/&gt;&lt;representation mediaType="application/sep-exi" element="sep:UsagePoint"/&gt;&lt;/response&gt;&lt;/method&gt;</v>
      </c>
      <c r="C56" s="1" t="str">
        <f>"&lt;method id=""HEAD"&amp;Controls!$B56&amp;""" name=""HEAD"" wx:mode="""&amp;Controls!D56&amp;"""/&gt;"</f>
        <v>&lt;method id="HEADUsagePoint" name="HEAD" wx:mode="M"/&gt;</v>
      </c>
      <c r="D56" s="1" t="str">
        <f>"&lt;method id="""&amp;Controls!E$1&amp;Controls!$B56&amp;""" name="""&amp;Controls!E$1&amp;""" wx:mode="""&amp;Controls!E56&amp;"""&gt;&lt;request&gt;&lt;representation mediaType="""&amp;Var!$B$18&amp;""" element=""sep:"&amp;Controls!$V56&amp;"""/&gt;&lt;representation mediaType="""&amp;Var!$B$19&amp;""" element=""sep:"&amp;Controls!$V56&amp;"""/&gt;&lt;/request&gt;"&amp;IF(Controls!E56="E","&lt;response status=""400""/&gt;&lt;response status=""405""/&gt;","")&amp;"&lt;/method&gt;"</f>
        <v>&lt;method id="PUTUsagePoint" name="PUT" wx:mode="E"&gt;&lt;request&gt;&lt;representation mediaType="application/sep+xml" element="sep:UsagePoint"/&gt;&lt;representation mediaType="application/sep-exi" element="sep:UsagePoint"/&gt;&lt;/request&gt;&lt;response status="400"/&gt;&lt;response status="405"/&gt;&lt;/method&gt;</v>
      </c>
      <c r="E56" s="1" t="str">
        <f>"&lt;method id="""&amp;Controls!F$1&amp;Controls!$B56&amp;""" name="""&amp;Controls!F$1&amp;""" wx:mode="""&amp;Controls!F56&amp;"""&gt;"&amp;IF(Controls!B56="MirrorUsagePoint",Var!$B$21,"&lt;request&gt;&lt;representation mediaType="""&amp;Var!$B$18&amp;""" element=""sep:"&amp;Controls!$V56&amp;"""/&gt;&lt;representation mediaType="""&amp;Var!$B$19&amp;""" element=""sep:"&amp;Controls!$V56&amp;"""/&gt;&lt;/request&gt;")&amp;IF(Controls!F56="E","&lt;response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id="POSTUsagePoint" name="POST" wx:mode="E"&gt;&lt;request&gt;&lt;representation mediaType="application/sep+xml" element="sep:UsagePoint"/&gt;&lt;representation mediaType="application/sep-exi" element="sep:UsagePoint"/&gt;&lt;/request&gt;&lt;response status="400"/&gt;&lt;response status="405"/&gt;&lt;/method&gt;</v>
      </c>
      <c r="F56" s="1" t="str">
        <f>"&lt;method id="""&amp;Controls!G$1&amp;Controls!$B56&amp;""" name="""&amp;Controls!G$1&amp;""" wx:mode="""&amp;Controls!G56&amp;"""&gt;"&amp;IF(Controls!G56="E","&lt;response status=""400""/&gt;&lt;response status=""405""/&gt;","&lt;response&gt;&lt;representation mediaType=""application/xml"" element=""sep:"&amp;Controls!$V56&amp;"""/&gt;&lt;/response&gt;")&amp;"&lt;/method&gt;"</f>
        <v>&lt;method id="DELETEUsagePoint" name="DELETE" wx:mode="O"&gt;&lt;response&gt;&lt;representation mediaType="application/xml" element="sep:UsagePoint"/&gt;&lt;/response&gt;&lt;/method&gt;</v>
      </c>
      <c r="G56" s="1" t="str">
        <f ca="1">IF(ISBLANK(Controls!B56),"",OFFSET(Var!B$11,Controls!O56,0)&amp;"&lt;/resource&gt;")</f>
        <v>&lt;wx:sampleParam name="id1" style="template" type="idType"/&gt;&lt;/resource&gt;</v>
      </c>
      <c r="I56" s="6" t="str">
        <f>IF(Controls!K56,"&lt;request&gt;&lt;param name=""s"" style=""query"" type=""xsd:int""&gt;&lt;doc&gt;start&lt;/doc&gt;&lt;/param&gt;"&amp;IF(Controls!L56,"&lt;param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57" spans="1:9" ht="49.5" customHeight="1">
      <c r="A57" s="1" t="str">
        <f>"&lt;resource id="""&amp;Controls!B57&amp;""" "&amp;IF(0,"path=""{"&amp;Controls!B57&amp;"Path}""","")&amp;" wx:samplePath="""&amp;Controls!C57&amp;"""&gt;&lt;doc title="""&amp;Controls!$B57&amp;"""&gt;"&amp;Controls!P57&amp;"&lt;/doc&gt;"</f>
        <v>&lt;resource id="MeterReadingList"  wx:samplePath="/upt/{id1}/mr"&gt;&lt;doc title="MeterReadingList"&gt;Meter Reading list including explicit URIs for each valid meter reading resource. &lt;/doc&gt;</v>
      </c>
      <c r="B57" s="1" t="str">
        <f>"&lt;method id="""&amp;Controls!D$1&amp;Controls!$B57&amp;""" name="""&amp;Controls!D$1&amp;""" wx:mode="""&amp;Controls!D57&amp;"""&gt;"&amp;IF(Controls!D57="E","&lt;response status=""400""/&gt;&lt;response status=""405""/&gt;",I57&amp;"&lt;response&gt;&lt;representation mediaType="""&amp;Var!$B$18&amp;""" element=""sep:"&amp;Controls!$W57&amp;"""/&gt;&lt;representation mediaType="""&amp;Var!$B$19&amp;""" element=""sep:"&amp;Controls!$W57&amp;"""/&gt;&lt;/response&gt;")&amp;"&lt;/method&gt;"</f>
        <v>&lt;method id="GETMeterReadingList"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element="sep:MeterReadingList"/&gt;&lt;representation mediaType="application/sep-exi" element="sep:MeterReadingList"/&gt;&lt;/response&gt;&lt;/method&gt;</v>
      </c>
      <c r="C57" s="1" t="str">
        <f>"&lt;method id=""HEAD"&amp;Controls!$B57&amp;""" name=""HEAD"" wx:mode="""&amp;Controls!D57&amp;"""/&gt;"</f>
        <v>&lt;method id="HEADMeterReadingList" name="HEAD" wx:mode="M"/&gt;</v>
      </c>
      <c r="D57" s="1" t="str">
        <f>"&lt;method id="""&amp;Controls!E$1&amp;Controls!$B57&amp;""" name="""&amp;Controls!E$1&amp;""" wx:mode="""&amp;Controls!E57&amp;"""&gt;&lt;request&gt;&lt;representation mediaType="""&amp;Var!$B$18&amp;""" element=""sep:"&amp;Controls!$V57&amp;"""/&gt;&lt;representation mediaType="""&amp;Var!$B$19&amp;""" element=""sep:"&amp;Controls!$V57&amp;"""/&gt;&lt;/request&gt;"&amp;IF(Controls!E57="E","&lt;response status=""400""/&gt;&lt;response status=""405""/&gt;","")&amp;"&lt;/method&gt;"</f>
        <v>&lt;method id="PUTMeterReadingList" name="PUT" wx:mode="E"&gt;&lt;request&gt;&lt;representation mediaType="application/sep+xml" element="sep:MeterReading"/&gt;&lt;representation mediaType="application/sep-exi" element="sep:MeterReading"/&gt;&lt;/request&gt;&lt;response status="400"/&gt;&lt;response status="405"/&gt;&lt;/method&gt;</v>
      </c>
      <c r="E57" s="1" t="str">
        <f>"&lt;method id="""&amp;Controls!F$1&amp;Controls!$B57&amp;""" name="""&amp;Controls!F$1&amp;""" wx:mode="""&amp;Controls!F57&amp;"""&gt;"&amp;IF(Controls!B57="MirrorUsagePoint",Var!$B$21,"&lt;request&gt;&lt;representation mediaType="""&amp;Var!$B$18&amp;""" element=""sep:"&amp;Controls!$V57&amp;"""/&gt;&lt;representation mediaType="""&amp;Var!$B$19&amp;""" element=""sep:"&amp;Controls!$V57&amp;"""/&gt;&lt;/request&gt;")&amp;IF(Controls!F57="E","&lt;response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id="POSTMeterReadingList" name="POST" wx:mode="O"&gt;&lt;request&gt;&lt;representation mediaType="application/sep+xml" element="sep:MeterReading"/&gt;&lt;representation mediaType="application/sep-exi" element="sep:MeterReading"/&gt;&lt;/request&gt;&lt;response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57" s="1" t="str">
        <f>"&lt;method id="""&amp;Controls!G$1&amp;Controls!$B57&amp;""" name="""&amp;Controls!G$1&amp;""" wx:mode="""&amp;Controls!G57&amp;"""&gt;"&amp;IF(Controls!G57="E","&lt;response status=""400""/&gt;&lt;response status=""405""/&gt;","&lt;response&gt;&lt;representation mediaType=""application/xml"" element=""sep:"&amp;Controls!$V57&amp;"""/&gt;&lt;/response&gt;")&amp;"&lt;/method&gt;"</f>
        <v>&lt;method id="DELETEMeterReadingList" name="DELETE" wx:mode="E"&gt;&lt;response status="400"/&gt;&lt;response status="405"/&gt;&lt;/method&gt;</v>
      </c>
      <c r="G57" s="1" t="str">
        <f ca="1">IF(ISBLANK(Controls!B57),"",OFFSET(Var!B$11,Controls!O57,0)&amp;"&lt;/resource&gt;")</f>
        <v>&lt;wx:sampleParam name="id1" style="template" type="idType"/&gt;&lt;/resource&gt;</v>
      </c>
      <c r="I57" s="6" t="str">
        <f>IF(Controls!K57,"&lt;request&gt;&lt;param name=""s"" style=""query"" type=""xsd:int""&gt;&lt;doc&gt;start&lt;/doc&gt;&lt;/param&gt;"&amp;IF(Controls!L57,"&lt;param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58" spans="1:9" ht="49.5" customHeight="1">
      <c r="A58" s="1" t="str">
        <f>"&lt;resource id="""&amp;Controls!B58&amp;""" "&amp;IF(0,"path=""{"&amp;Controls!B58&amp;"Path}""","")&amp;" wx:samplePath="""&amp;Controls!C58&amp;"""&gt;&lt;doc title="""&amp;Controls!$B58&amp;"""&gt;"&amp;Controls!P58&amp;"&lt;/doc&gt;"</f>
        <v>&lt;resource id="MeterReading"  wx:samplePath="/upt/{id1}/mr/{id2}"&gt;&lt;doc title="MeterReading"&gt;Meter Reading instance which contains ReadingSet and Reading resources&lt;/doc&gt;</v>
      </c>
      <c r="B58" s="1" t="str">
        <f>"&lt;method id="""&amp;Controls!D$1&amp;Controls!$B58&amp;""" name="""&amp;Controls!D$1&amp;""" wx:mode="""&amp;Controls!D58&amp;"""&gt;"&amp;IF(Controls!D58="E","&lt;response status=""400""/&gt;&lt;response status=""405""/&gt;",I58&amp;"&lt;response&gt;&lt;representation mediaType="""&amp;Var!$B$18&amp;""" element=""sep:"&amp;Controls!$W58&amp;"""/&gt;&lt;representation mediaType="""&amp;Var!$B$19&amp;""" element=""sep:"&amp;Controls!$W58&amp;"""/&gt;&lt;/response&gt;")&amp;"&lt;/method&gt;"</f>
        <v>&lt;method id="GETMeterReading" name="GET" wx:mode="M"&gt;&lt;response&gt;&lt;representation mediaType="application/sep+xml" element="sep:MeterReading"/&gt;&lt;representation mediaType="application/sep-exi" element="sep:MeterReading"/&gt;&lt;/response&gt;&lt;/method&gt;</v>
      </c>
      <c r="C58" s="1" t="str">
        <f>"&lt;method id=""HEAD"&amp;Controls!$B58&amp;""" name=""HEAD"" wx:mode="""&amp;Controls!D58&amp;"""/&gt;"</f>
        <v>&lt;method id="HEADMeterReading" name="HEAD" wx:mode="M"/&gt;</v>
      </c>
      <c r="D58" s="1" t="str">
        <f>"&lt;method id="""&amp;Controls!E$1&amp;Controls!$B58&amp;""" name="""&amp;Controls!E$1&amp;""" wx:mode="""&amp;Controls!E58&amp;"""&gt;&lt;request&gt;&lt;representation mediaType="""&amp;Var!$B$18&amp;""" element=""sep:"&amp;Controls!$V58&amp;"""/&gt;&lt;representation mediaType="""&amp;Var!$B$19&amp;""" element=""sep:"&amp;Controls!$V58&amp;"""/&gt;&lt;/request&gt;"&amp;IF(Controls!E58="E","&lt;response status=""400""/&gt;&lt;response status=""405""/&gt;","")&amp;"&lt;/method&gt;"</f>
        <v>&lt;method id="PUTMeterReading" name="PUT" wx:mode="E"&gt;&lt;request&gt;&lt;representation mediaType="application/sep+xml" element="sep:MeterReading"/&gt;&lt;representation mediaType="application/sep-exi" element="sep:MeterReading"/&gt;&lt;/request&gt;&lt;response status="400"/&gt;&lt;response status="405"/&gt;&lt;/method&gt;</v>
      </c>
      <c r="E58" s="1" t="str">
        <f>"&lt;method id="""&amp;Controls!F$1&amp;Controls!$B58&amp;""" name="""&amp;Controls!F$1&amp;""" wx:mode="""&amp;Controls!F58&amp;"""&gt;"&amp;IF(Controls!B58="MirrorUsagePoint",Var!$B$21,"&lt;request&gt;&lt;representation mediaType="""&amp;Var!$B$18&amp;""" element=""sep:"&amp;Controls!$V58&amp;"""/&gt;&lt;representation mediaType="""&amp;Var!$B$19&amp;""" element=""sep:"&amp;Controls!$V58&amp;"""/&gt;&lt;/request&gt;")&amp;IF(Controls!F58="E","&lt;response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id="POSTMeterReading" name="POST" wx:mode="E"&gt;&lt;request&gt;&lt;representation mediaType="application/sep+xml" element="sep:MeterReading"/&gt;&lt;representation mediaType="application/sep-exi" element="sep:MeterReading"/&gt;&lt;/request&gt;&lt;response status="400"/&gt;&lt;response status="405"/&gt;&lt;/method&gt;</v>
      </c>
      <c r="F58" s="1" t="str">
        <f>"&lt;method id="""&amp;Controls!G$1&amp;Controls!$B58&amp;""" name="""&amp;Controls!G$1&amp;""" wx:mode="""&amp;Controls!G58&amp;"""&gt;"&amp;IF(Controls!G58="E","&lt;response status=""400""/&gt;&lt;response status=""405""/&gt;","&lt;response&gt;&lt;representation mediaType=""application/xml"" element=""sep:"&amp;Controls!$V58&amp;"""/&gt;&lt;/response&gt;")&amp;"&lt;/method&gt;"</f>
        <v>&lt;method id="DELETEMeterReading" name="DELETE" wx:mode="O"&gt;&lt;response&gt;&lt;representation mediaType="application/xml" element="sep:MeterReading"/&gt;&lt;/response&gt;&lt;/method&gt;</v>
      </c>
      <c r="G58" s="1" t="str">
        <f ca="1">IF(ISBLANK(Controls!B58),"",OFFSET(Var!B$11,Controls!O58,0)&amp;"&lt;/resource&gt;")</f>
        <v>&lt;wx:sampleParam name="id1" style="template" type="idType"/&gt;&lt;wx:sampleParam name="id2" style="template" type="idType"/&gt;&lt;/resource&gt;</v>
      </c>
      <c r="I58" s="6" t="str">
        <f>IF(Controls!K58,"&lt;request&gt;&lt;param name=""s"" style=""query"" type=""xsd:int""&gt;&lt;doc&gt;start&lt;/doc&gt;&lt;/param&gt;"&amp;IF(Controls!L58,"&lt;param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59" spans="1:9" ht="49.5" customHeight="1">
      <c r="A59" s="1" t="str">
        <f>"&lt;resource id="""&amp;Controls!B59&amp;""" "&amp;IF(0,"path=""{"&amp;Controls!B59&amp;"Path}""","")&amp;" wx:samplePath="""&amp;Controls!C59&amp;"""&gt;&lt;doc title="""&amp;Controls!$B59&amp;"""&gt;"&amp;Controls!P59&amp;"&lt;/doc&gt;"</f>
        <v>&lt;resource id="ReadingType"  wx:samplePath="/upt/{id1}/mr/{id2}/rt"&gt;&lt;doc title="ReadingType"&gt;Meter Reading type&lt;/doc&gt;</v>
      </c>
      <c r="B59" s="1" t="str">
        <f>"&lt;method id="""&amp;Controls!D$1&amp;Controls!$B59&amp;""" name="""&amp;Controls!D$1&amp;""" wx:mode="""&amp;Controls!D59&amp;"""&gt;"&amp;IF(Controls!D59="E","&lt;response status=""400""/&gt;&lt;response status=""405""/&gt;",I59&amp;"&lt;response&gt;&lt;representation mediaType="""&amp;Var!$B$18&amp;""" element=""sep:"&amp;Controls!$W59&amp;"""/&gt;&lt;representation mediaType="""&amp;Var!$B$19&amp;""" element=""sep:"&amp;Controls!$W59&amp;"""/&gt;&lt;/response&gt;")&amp;"&lt;/method&gt;"</f>
        <v>&lt;method id="GETReadingType" name="GET" wx:mode="M"&gt;&lt;response&gt;&lt;representation mediaType="application/sep+xml" element="sep:ReadingType"/&gt;&lt;representation mediaType="application/sep-exi" element="sep:ReadingType"/&gt;&lt;/response&gt;&lt;/method&gt;</v>
      </c>
      <c r="C59" s="1" t="str">
        <f>"&lt;method id=""HEAD"&amp;Controls!$B59&amp;""" name=""HEAD"" wx:mode="""&amp;Controls!D59&amp;"""/&gt;"</f>
        <v>&lt;method id="HEADReadingType" name="HEAD" wx:mode="M"/&gt;</v>
      </c>
      <c r="D59" s="1" t="str">
        <f>"&lt;method id="""&amp;Controls!E$1&amp;Controls!$B59&amp;""" name="""&amp;Controls!E$1&amp;""" wx:mode="""&amp;Controls!E59&amp;"""&gt;&lt;request&gt;&lt;representation mediaType="""&amp;Var!$B$18&amp;""" element=""sep:"&amp;Controls!$V59&amp;"""/&gt;&lt;representation mediaType="""&amp;Var!$B$19&amp;""" element=""sep:"&amp;Controls!$V59&amp;"""/&gt;&lt;/request&gt;"&amp;IF(Controls!E59="E","&lt;response status=""400""/&gt;&lt;response status=""405""/&gt;","")&amp;"&lt;/method&gt;"</f>
        <v>&lt;method id="PUTReadingType" name="PUT" wx:mode="O"&gt;&lt;request&gt;&lt;representation mediaType="application/sep+xml" element="sep:ReadingType"/&gt;&lt;representation mediaType="application/sep-exi" element="sep:ReadingType"/&gt;&lt;/request&gt;&lt;/method&gt;</v>
      </c>
      <c r="E59" s="1" t="str">
        <f>"&lt;method id="""&amp;Controls!F$1&amp;Controls!$B59&amp;""" name="""&amp;Controls!F$1&amp;""" wx:mode="""&amp;Controls!F59&amp;"""&gt;"&amp;IF(Controls!B59="MirrorUsagePoint",Var!$B$21,"&lt;request&gt;&lt;representation mediaType="""&amp;Var!$B$18&amp;""" element=""sep:"&amp;Controls!$V59&amp;"""/&gt;&lt;representation mediaType="""&amp;Var!$B$19&amp;""" element=""sep:"&amp;Controls!$V59&amp;"""/&gt;&lt;/request&gt;")&amp;IF(Controls!F59="E","&lt;response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id="POSTReadingType" name="POST" wx:mode="E"&gt;&lt;request&gt;&lt;representation mediaType="application/sep+xml" element="sep:ReadingType"/&gt;&lt;representation mediaType="application/sep-exi" element="sep:ReadingType"/&gt;&lt;/request&gt;&lt;response status="400"/&gt;&lt;response status="405"/&gt;&lt;/method&gt;</v>
      </c>
      <c r="F59" s="1" t="str">
        <f>"&lt;method id="""&amp;Controls!G$1&amp;Controls!$B59&amp;""" name="""&amp;Controls!G$1&amp;""" wx:mode="""&amp;Controls!G59&amp;"""&gt;"&amp;IF(Controls!G59="E","&lt;response status=""400""/&gt;&lt;response status=""405""/&gt;","&lt;response&gt;&lt;representation mediaType=""application/xml"" element=""sep:"&amp;Controls!$V59&amp;"""/&gt;&lt;/response&gt;")&amp;"&lt;/method&gt;"</f>
        <v>&lt;method id="DELETEReadingType" name="DELETE" wx:mode="E"&gt;&lt;response status="400"/&gt;&lt;response status="405"/&gt;&lt;/method&gt;</v>
      </c>
      <c r="G59" s="1" t="str">
        <f ca="1">IF(ISBLANK(Controls!B59),"",OFFSET(Var!B$11,Controls!O59,0)&amp;"&lt;/resource&gt;")</f>
        <v>&lt;wx:sampleParam name="id1" style="template" type="idType"/&gt;&lt;wx:sampleParam name="id2" style="template" type="idType"/&gt;&lt;/resource&gt;</v>
      </c>
      <c r="I59" s="6" t="str">
        <f>IF(Controls!K59,"&lt;request&gt;&lt;param name=""s"" style=""query"" type=""xsd:int""&gt;&lt;doc&gt;start&lt;/doc&gt;&lt;/param&gt;"&amp;IF(Controls!L59,"&lt;param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60" spans="1:9" ht="49.5" customHeight="1">
      <c r="A60" s="1" t="str">
        <f>"&lt;resource id="""&amp;Controls!B60&amp;""" "&amp;IF(0,"path=""{"&amp;Controls!B60&amp;"Path}""","")&amp;" wx:samplePath="""&amp;Controls!C60&amp;"""&gt;&lt;doc title="""&amp;Controls!$B60&amp;"""&gt;"&amp;Controls!P60&amp;"&lt;/doc&gt;"</f>
        <v>&lt;resource id="ReadingSetList"  wx:samplePath="/upt/{id1}/mr/{id2}/rs"&gt;&lt;doc title="ReadingSetList"&gt;Reading Set list&lt;/doc&gt;</v>
      </c>
      <c r="B60" s="1" t="str">
        <f>"&lt;method id="""&amp;Controls!D$1&amp;Controls!$B60&amp;""" name="""&amp;Controls!D$1&amp;""" wx:mode="""&amp;Controls!D60&amp;"""&gt;"&amp;IF(Controls!D60="E","&lt;response status=""400""/&gt;&lt;response status=""405""/&gt;",I60&amp;"&lt;response&gt;&lt;representation mediaType="""&amp;Var!$B$18&amp;""" element=""sep:"&amp;Controls!$W60&amp;"""/&gt;&lt;representation mediaType="""&amp;Var!$B$19&amp;""" element=""sep:"&amp;Controls!$W60&amp;"""/&gt;&lt;/response&gt;")&amp;"&lt;/method&gt;"</f>
        <v>&lt;method id="GETReadingSetList"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element="sep:ReadingSetList"/&gt;&lt;representation mediaType="application/sep-exi" element="sep:ReadingSetList"/&gt;&lt;/response&gt;&lt;/method&gt;</v>
      </c>
      <c r="C60" s="1" t="str">
        <f>"&lt;method id=""HEAD"&amp;Controls!$B60&amp;""" name=""HEAD"" wx:mode="""&amp;Controls!D60&amp;"""/&gt;"</f>
        <v>&lt;method id="HEADReadingSetList" name="HEAD" wx:mode="M"/&gt;</v>
      </c>
      <c r="D60" s="1" t="str">
        <f>"&lt;method id="""&amp;Controls!E$1&amp;Controls!$B60&amp;""" name="""&amp;Controls!E$1&amp;""" wx:mode="""&amp;Controls!E60&amp;"""&gt;&lt;request&gt;&lt;representation mediaType="""&amp;Var!$B$18&amp;""" element=""sep:"&amp;Controls!$V60&amp;"""/&gt;&lt;representation mediaType="""&amp;Var!$B$19&amp;""" element=""sep:"&amp;Controls!$V60&amp;"""/&gt;&lt;/request&gt;"&amp;IF(Controls!E60="E","&lt;response status=""400""/&gt;&lt;response status=""405""/&gt;","")&amp;"&lt;/method&gt;"</f>
        <v>&lt;method id="PUTReadingSetList" name="PUT" wx:mode="E"&gt;&lt;request&gt;&lt;representation mediaType="application/sep+xml" element="sep:ReadingSet"/&gt;&lt;representation mediaType="application/sep-exi" element="sep:ReadingSet"/&gt;&lt;/request&gt;&lt;response status="400"/&gt;&lt;response status="405"/&gt;&lt;/method&gt;</v>
      </c>
      <c r="E60" s="1" t="str">
        <f>"&lt;method id="""&amp;Controls!F$1&amp;Controls!$B60&amp;""" name="""&amp;Controls!F$1&amp;""" wx:mode="""&amp;Controls!F60&amp;"""&gt;"&amp;IF(Controls!B60="MirrorUsagePoint",Var!$B$21,"&lt;request&gt;&lt;representation mediaType="""&amp;Var!$B$18&amp;""" element=""sep:"&amp;Controls!$V60&amp;"""/&gt;&lt;representation mediaType="""&amp;Var!$B$19&amp;""" element=""sep:"&amp;Controls!$V60&amp;"""/&gt;&lt;/request&gt;")&amp;IF(Controls!F60="E","&lt;response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id="POSTReadingSetList" name="POST" wx:mode="O"&gt;&lt;request&gt;&lt;representation mediaType="application/sep+xml" element="sep:ReadingSet"/&gt;&lt;representation mediaType="application/sep-exi" element="sep:ReadingSet"/&gt;&lt;/request&gt;&lt;response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60" s="1" t="str">
        <f>"&lt;method id="""&amp;Controls!G$1&amp;Controls!$B60&amp;""" name="""&amp;Controls!G$1&amp;""" wx:mode="""&amp;Controls!G60&amp;"""&gt;"&amp;IF(Controls!G60="E","&lt;response status=""400""/&gt;&lt;response status=""405""/&gt;","&lt;response&gt;&lt;representation mediaType=""application/xml"" element=""sep:"&amp;Controls!$V60&amp;"""/&gt;&lt;/response&gt;")&amp;"&lt;/method&gt;"</f>
        <v>&lt;method id="DELETEReadingSetList" name="DELETE" wx:mode="E"&gt;&lt;response status="400"/&gt;&lt;response status="405"/&gt;&lt;/method&gt;</v>
      </c>
      <c r="G60" s="1" t="str">
        <f ca="1">IF(ISBLANK(Controls!B60),"",OFFSET(Var!B$11,Controls!O60,0)&amp;"&lt;/resource&gt;")</f>
        <v>&lt;wx:sampleParam name="id1" style="template" type="idType"/&gt;&lt;wx:sampleParam name="id2" style="template" type="idType"/&gt;&lt;/resource&gt;</v>
      </c>
      <c r="I60" s="6" t="str">
        <f>IF(Controls!K60,"&lt;request&gt;&lt;param name=""s"" style=""query"" type=""xsd:int""&gt;&lt;doc&gt;start&lt;/doc&gt;&lt;/param&gt;"&amp;IF(Controls!L60,"&lt;param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61" spans="1:9" ht="49.75" customHeight="1">
      <c r="A61" s="1" t="str">
        <f>"&lt;resource id="""&amp;Controls!B61&amp;""" "&amp;IF(0,"path=""{"&amp;Controls!B61&amp;"Path}""","")&amp;" wx:samplePath="""&amp;Controls!C61&amp;"""&gt;&lt;doc title="""&amp;Controls!$B61&amp;"""&gt;"&amp;Controls!P61&amp;"&lt;/doc&gt;"</f>
        <v>&lt;resource id="ReadingSet"  wx:samplePath="/upt/{id1}/mr/{id2}/rs/{id3}"&gt;&lt;doc title="ReadingSet"&gt;Reading Set instance which contains a list of Reading(s)&lt;/doc&gt;</v>
      </c>
      <c r="B61" s="1" t="str">
        <f>"&lt;method id="""&amp;Controls!D$1&amp;Controls!$B61&amp;""" name="""&amp;Controls!D$1&amp;""" wx:mode="""&amp;Controls!D61&amp;"""&gt;"&amp;IF(Controls!D61="E","&lt;response status=""400""/&gt;&lt;response status=""405""/&gt;",I61&amp;"&lt;response&gt;&lt;representation mediaType="""&amp;Var!$B$18&amp;""" element=""sep:"&amp;Controls!$W61&amp;"""/&gt;&lt;representation mediaType="""&amp;Var!$B$19&amp;""" element=""sep:"&amp;Controls!$W61&amp;"""/&gt;&lt;/response&gt;")&amp;"&lt;/method&gt;"</f>
        <v>&lt;method id="GETReadingSet" name="GET" wx:mode="M"&gt;&lt;response&gt;&lt;representation mediaType="application/sep+xml" element="sep:ReadingSet"/&gt;&lt;representation mediaType="application/sep-exi" element="sep:ReadingSet"/&gt;&lt;/response&gt;&lt;/method&gt;</v>
      </c>
      <c r="C61" s="1" t="str">
        <f>"&lt;method id=""HEAD"&amp;Controls!$B61&amp;""" name=""HEAD"" wx:mode="""&amp;Controls!D61&amp;"""/&gt;"</f>
        <v>&lt;method id="HEADReadingSet" name="HEAD" wx:mode="M"/&gt;</v>
      </c>
      <c r="D61" s="1" t="str">
        <f>"&lt;method id="""&amp;Controls!E$1&amp;Controls!$B61&amp;""" name="""&amp;Controls!E$1&amp;""" wx:mode="""&amp;Controls!E61&amp;"""&gt;&lt;request&gt;&lt;representation mediaType="""&amp;Var!$B$18&amp;""" element=""sep:"&amp;Controls!$V61&amp;"""/&gt;&lt;representation mediaType="""&amp;Var!$B$19&amp;""" element=""sep:"&amp;Controls!$V61&amp;"""/&gt;&lt;/request&gt;"&amp;IF(Controls!E61="E","&lt;response status=""400""/&gt;&lt;response status=""405""/&gt;","")&amp;"&lt;/method&gt;"</f>
        <v>&lt;method id="PUTReadingSet" name="PUT" wx:mode="E"&gt;&lt;request&gt;&lt;representation mediaType="application/sep+xml" element="sep:ReadingSet"/&gt;&lt;representation mediaType="application/sep-exi" element="sep:ReadingSet"/&gt;&lt;/request&gt;&lt;response status="400"/&gt;&lt;response status="405"/&gt;&lt;/method&gt;</v>
      </c>
      <c r="E61" s="1" t="str">
        <f>"&lt;method id="""&amp;Controls!F$1&amp;Controls!$B61&amp;""" name="""&amp;Controls!F$1&amp;""" wx:mode="""&amp;Controls!F61&amp;"""&gt;"&amp;IF(Controls!B61="MirrorUsagePoint",Var!$B$21,"&lt;request&gt;&lt;representation mediaType="""&amp;Var!$B$18&amp;""" element=""sep:"&amp;Controls!$V61&amp;"""/&gt;&lt;representation mediaType="""&amp;Var!$B$19&amp;""" element=""sep:"&amp;Controls!$V61&amp;"""/&gt;&lt;/request&gt;")&amp;IF(Controls!F61="E","&lt;response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id="POSTReadingSet" name="POST" wx:mode="E"&gt;&lt;request&gt;&lt;representation mediaType="application/sep+xml" element="sep:ReadingSet"/&gt;&lt;representation mediaType="application/sep-exi" element="sep:ReadingSet"/&gt;&lt;/request&gt;&lt;response status="400"/&gt;&lt;response status="405"/&gt;&lt;/method&gt;</v>
      </c>
      <c r="F61" s="1" t="str">
        <f>"&lt;method id="""&amp;Controls!G$1&amp;Controls!$B61&amp;""" name="""&amp;Controls!G$1&amp;""" wx:mode="""&amp;Controls!G61&amp;"""&gt;"&amp;IF(Controls!G61="E","&lt;response status=""400""/&gt;&lt;response status=""405""/&gt;","&lt;response&gt;&lt;representation mediaType=""application/xml"" element=""sep:"&amp;Controls!$V61&amp;"""/&gt;&lt;/response&gt;")&amp;"&lt;/method&gt;"</f>
        <v>&lt;method id="DELETEReadingSet" name="DELETE" wx:mode="O"&gt;&lt;response&gt;&lt;representation mediaType="application/xml" element="sep:ReadingSet"/&gt;&lt;/response&gt;&lt;/method&gt;</v>
      </c>
      <c r="G61" s="1" t="str">
        <f ca="1">IF(ISBLANK(Controls!B61),"",OFFSET(Var!B$11,Controls!O61,0)&amp;"&lt;/resource&gt;")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61" s="6" t="str">
        <f>IF(Controls!K61,"&lt;request&gt;&lt;param name=""s"" style=""query"" type=""xsd:int""&gt;&lt;doc&gt;start&lt;/doc&gt;&lt;/param&gt;"&amp;IF(Controls!L61,"&lt;param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62" spans="1:9" ht="49.75" customHeight="1">
      <c r="A62" s="1" t="str">
        <f>"&lt;resource id="""&amp;Controls!B62&amp;""" "&amp;IF(0,"path=""{"&amp;Controls!B62&amp;"Path}""","")&amp;" wx:samplePath="""&amp;Controls!C62&amp;"""&gt;&lt;doc title="""&amp;Controls!$B62&amp;"""&gt;"&amp;Controls!P62&amp;"&lt;/doc&gt;"</f>
        <v>&lt;resource id="ReadingList"  wx:samplePath="/upt/{id1}/mr/{id2}/rs/{id3}/r"&gt;&lt;doc title="ReadingList"&gt;Reading list of a particular meter reading set. &lt;/doc&gt;</v>
      </c>
      <c r="B62" s="1" t="str">
        <f>"&lt;method id="""&amp;Controls!D$1&amp;Controls!$B62&amp;""" name="""&amp;Controls!D$1&amp;""" wx:mode="""&amp;Controls!D62&amp;"""&gt;"&amp;IF(Controls!D62="E","&lt;response status=""400""/&gt;&lt;response status=""405""/&gt;",I62&amp;"&lt;response&gt;&lt;representation mediaType="""&amp;Var!$B$18&amp;""" element=""sep:"&amp;Controls!$W62&amp;"""/&gt;&lt;representation mediaType="""&amp;Var!$B$19&amp;""" element=""sep:"&amp;Controls!$W62&amp;"""/&gt;&lt;/response&gt;")&amp;"&lt;/method&gt;"</f>
        <v>&lt;method id="GETReadingList"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element="sep:ReadingList"/&gt;&lt;representation mediaType="application/sep-exi" element="sep:ReadingList"/&gt;&lt;/response&gt;&lt;/method&gt;</v>
      </c>
      <c r="C62" s="1" t="str">
        <f>"&lt;method id=""HEAD"&amp;Controls!$B62&amp;""" name=""HEAD"" wx:mode="""&amp;Controls!D62&amp;"""/&gt;"</f>
        <v>&lt;method id="HEADReadingList" name="HEAD" wx:mode="M"/&gt;</v>
      </c>
      <c r="D62" s="1" t="str">
        <f>"&lt;method id="""&amp;Controls!E$1&amp;Controls!$B62&amp;""" name="""&amp;Controls!E$1&amp;""" wx:mode="""&amp;Controls!E62&amp;"""&gt;&lt;request&gt;&lt;representation mediaType="""&amp;Var!$B$18&amp;""" element=""sep:"&amp;Controls!$V62&amp;"""/&gt;&lt;representation mediaType="""&amp;Var!$B$19&amp;""" element=""sep:"&amp;Controls!$V62&amp;"""/&gt;&lt;/request&gt;"&amp;IF(Controls!E62="E","&lt;response status=""400""/&gt;&lt;response status=""405""/&gt;","")&amp;"&lt;/method&gt;"</f>
        <v>&lt;method id="PUTReadingList" name="PUT" wx:mode="E"&gt;&lt;request&gt;&lt;representation mediaType="application/sep+xml" element="sep:Reading"/&gt;&lt;representation mediaType="application/sep-exi" element="sep:Reading"/&gt;&lt;/request&gt;&lt;response status="400"/&gt;&lt;response status="405"/&gt;&lt;/method&gt;</v>
      </c>
      <c r="E62" s="1" t="str">
        <f>"&lt;method id="""&amp;Controls!F$1&amp;Controls!$B62&amp;""" name="""&amp;Controls!F$1&amp;""" wx:mode="""&amp;Controls!F62&amp;"""&gt;"&amp;IF(Controls!B62="MirrorUsagePoint",Var!$B$21,"&lt;request&gt;&lt;representation mediaType="""&amp;Var!$B$18&amp;""" element=""sep:"&amp;Controls!$V62&amp;"""/&gt;&lt;representation mediaType="""&amp;Var!$B$19&amp;""" element=""sep:"&amp;Controls!$V62&amp;"""/&gt;&lt;/request&gt;")&amp;IF(Controls!F62="E","&lt;response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id="POSTReadingList" name="POST" wx:mode="O"&gt;&lt;request&gt;&lt;representation mediaType="application/sep+xml" element="sep:Reading"/&gt;&lt;representation mediaType="application/sep-exi" element="sep:Reading"/&gt;&lt;/request&gt;&lt;response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62" s="1" t="str">
        <f>"&lt;method id="""&amp;Controls!G$1&amp;Controls!$B62&amp;""" name="""&amp;Controls!G$1&amp;""" wx:mode="""&amp;Controls!G62&amp;"""&gt;"&amp;IF(Controls!G62="E","&lt;response status=""400""/&gt;&lt;response status=""405""/&gt;","&lt;response&gt;&lt;representation mediaType=""application/xml"" element=""sep:"&amp;Controls!$V62&amp;"""/&gt;&lt;/response&gt;")&amp;"&lt;/method&gt;"</f>
        <v>&lt;method id="DELETEReadingList" name="DELETE" wx:mode="E"&gt;&lt;response status="400"/&gt;&lt;response status="405"/&gt;&lt;/method&gt;</v>
      </c>
      <c r="G62" s="1" t="str">
        <f ca="1">IF(ISBLANK(Controls!B62),"",OFFSET(Var!B$11,Controls!O62,0)&amp;"&lt;/resource&gt;")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62" s="6" t="str">
        <f>IF(Controls!K62,"&lt;request&gt;&lt;param name=""s"" style=""query"" type=""xsd:int""&gt;&lt;doc&gt;start&lt;/doc&gt;&lt;/param&gt;"&amp;IF(Controls!L62,"&lt;param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63" spans="1:9" ht="49.5" customHeight="1">
      <c r="A63" s="1" t="str">
        <f>"&lt;resource id="""&amp;Controls!B63&amp;""" "&amp;IF(0,"path=""{"&amp;Controls!B63&amp;"Path}""","")&amp;" wx:samplePath="""&amp;Controls!C63&amp;"""&gt;&lt;doc title="""&amp;Controls!$B63&amp;"""&gt;"&amp;Controls!P63&amp;"&lt;/doc&gt;"</f>
        <v>&lt;resource id="Reading"  wx:samplePath="/upt/{id1}/mr/{id2}/rs/{id3}/r/{id4}"&gt;&lt;doc title="Reading"&gt;Reading instance of a particular meter reading type. &lt;/doc&gt;</v>
      </c>
      <c r="B63" s="1" t="str">
        <f>"&lt;method id="""&amp;Controls!D$1&amp;Controls!$B63&amp;""" name="""&amp;Controls!D$1&amp;""" wx:mode="""&amp;Controls!D63&amp;"""&gt;"&amp;IF(Controls!D63="E","&lt;response status=""400""/&gt;&lt;response status=""405""/&gt;",I63&amp;"&lt;response&gt;&lt;representation mediaType="""&amp;Var!$B$18&amp;""" element=""sep:"&amp;Controls!$W63&amp;"""/&gt;&lt;representation mediaType="""&amp;Var!$B$19&amp;""" element=""sep:"&amp;Controls!$W63&amp;"""/&gt;&lt;/response&gt;")&amp;"&lt;/method&gt;"</f>
        <v>&lt;method id="GETReading" name="GET" wx:mode="M"&gt;&lt;response&gt;&lt;representation mediaType="application/sep+xml" element="sep:Reading"/&gt;&lt;representation mediaType="application/sep-exi" element="sep:Reading"/&gt;&lt;/response&gt;&lt;/method&gt;</v>
      </c>
      <c r="C63" s="1" t="str">
        <f>"&lt;method id=""HEAD"&amp;Controls!$B63&amp;""" name=""HEAD"" wx:mode="""&amp;Controls!D63&amp;"""/&gt;"</f>
        <v>&lt;method id="HEADReading" name="HEAD" wx:mode="M"/&gt;</v>
      </c>
      <c r="D63" s="1" t="str">
        <f>"&lt;method id="""&amp;Controls!E$1&amp;Controls!$B63&amp;""" name="""&amp;Controls!E$1&amp;""" wx:mode="""&amp;Controls!E63&amp;"""&gt;&lt;request&gt;&lt;representation mediaType="""&amp;Var!$B$18&amp;""" element=""sep:"&amp;Controls!$V63&amp;"""/&gt;&lt;representation mediaType="""&amp;Var!$B$19&amp;""" element=""sep:"&amp;Controls!$V63&amp;"""/&gt;&lt;/request&gt;"&amp;IF(Controls!E63="E","&lt;response status=""400""/&gt;&lt;response status=""405""/&gt;","")&amp;"&lt;/method&gt;"</f>
        <v>&lt;method id="PUTReading" name="PUT" wx:mode="O"&gt;&lt;request&gt;&lt;representation mediaType="application/sep+xml" element="sep:Reading"/&gt;&lt;representation mediaType="application/sep-exi" element="sep:Reading"/&gt;&lt;/request&gt;&lt;/method&gt;</v>
      </c>
      <c r="E63" s="1" t="str">
        <f>"&lt;method id="""&amp;Controls!F$1&amp;Controls!$B63&amp;""" name="""&amp;Controls!F$1&amp;""" wx:mode="""&amp;Controls!F63&amp;"""&gt;"&amp;IF(Controls!B63="MirrorUsagePoint",Var!$B$21,"&lt;request&gt;&lt;representation mediaType="""&amp;Var!$B$18&amp;""" element=""sep:"&amp;Controls!$V63&amp;"""/&gt;&lt;representation mediaType="""&amp;Var!$B$19&amp;""" element=""sep:"&amp;Controls!$V63&amp;"""/&gt;&lt;/request&gt;")&amp;IF(Controls!F63="E","&lt;response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id="POSTReading" name="POST" wx:mode="E"&gt;&lt;request&gt;&lt;representation mediaType="application/sep+xml" element="sep:Reading"/&gt;&lt;representation mediaType="application/sep-exi" element="sep:Reading"/&gt;&lt;/request&gt;&lt;response status="400"/&gt;&lt;response status="405"/&gt;&lt;/method&gt;</v>
      </c>
      <c r="F63" s="1" t="str">
        <f>"&lt;method id="""&amp;Controls!G$1&amp;Controls!$B63&amp;""" name="""&amp;Controls!G$1&amp;""" wx:mode="""&amp;Controls!G63&amp;"""&gt;"&amp;IF(Controls!G63="E","&lt;response status=""400""/&gt;&lt;response status=""405""/&gt;","&lt;response&gt;&lt;representation mediaType=""application/xml"" element=""sep:"&amp;Controls!$V63&amp;"""/&gt;&lt;/response&gt;")&amp;"&lt;/method&gt;"</f>
        <v>&lt;method id="DELETEReading" name="DELETE" wx:mode="O"&gt;&lt;response&gt;&lt;representation mediaType="application/xml" element="sep:Reading"/&gt;&lt;/response&gt;&lt;/method&gt;</v>
      </c>
      <c r="G63" s="1" t="str">
        <f ca="1">IF(ISBLANK(Controls!B63),"",OFFSET(Var!B$11,Controls!O63,0)&amp;"&lt;/resource&gt;")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type="idType"/&gt;&lt;/resource&gt;</v>
      </c>
      <c r="I63" s="6" t="str">
        <f>IF(Controls!K63,"&lt;request&gt;&lt;param name=""s"" style=""query"" type=""xsd:int""&gt;&lt;doc&gt;start&lt;/doc&gt;&lt;/param&gt;"&amp;IF(Controls!L63,"&lt;param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64" spans="1:9" ht="49.5" customHeight="1">
      <c r="A64" s="1" t="str">
        <f>"&lt;resource id="""&amp;Controls!B64&amp;""" "&amp;IF(0,"path=""{"&amp;Controls!B64&amp;"Path}""","")&amp;" wx:samplePath="""&amp;Controls!C64&amp;"""&gt;&lt;doc title="""&amp;Controls!$B64&amp;"""&gt;"&amp;Controls!P64&amp;"&lt;/doc&gt;"</f>
        <v>&lt;resource id="MirrorUsagePointList"  wx:samplePath="/mup"&gt;&lt;doc title="MirrorUsagePointList"&gt;Mirror Usage point (meter) resource list. Devices implementing the MirrorUsagePointList resource may support multiple instances of meter mirror asset. &lt;/doc&gt;</v>
      </c>
      <c r="B64" s="1" t="str">
        <f>"&lt;method id="""&amp;Controls!D$1&amp;Controls!$B64&amp;""" name="""&amp;Controls!D$1&amp;""" wx:mode="""&amp;Controls!D64&amp;"""&gt;"&amp;IF(Controls!D64="E","&lt;response status=""400""/&gt;&lt;response status=""405""/&gt;",I64&amp;"&lt;response&gt;&lt;representation mediaType="""&amp;Var!$B$18&amp;""" element=""sep:"&amp;Controls!$W64&amp;"""/&gt;&lt;representation mediaType="""&amp;Var!$B$19&amp;""" element=""sep:"&amp;Controls!$W64&amp;"""/&gt;&lt;/response&gt;")&amp;"&lt;/method&gt;"</f>
        <v>&lt;method id="GETMirrorUsagePointList"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element="sep:MirrorUsagePointList"/&gt;&lt;representation mediaType="application/sep-exi" element="sep:MirrorUsagePointList"/&gt;&lt;/response&gt;&lt;/method&gt;</v>
      </c>
      <c r="C64" s="1" t="str">
        <f>"&lt;method id=""HEAD"&amp;Controls!$B64&amp;""" name=""HEAD"" wx:mode="""&amp;Controls!D64&amp;"""/&gt;"</f>
        <v>&lt;method id="HEADMirrorUsagePointList" name="HEAD" wx:mode="M"/&gt;</v>
      </c>
      <c r="D64" s="1" t="str">
        <f>"&lt;method id="""&amp;Controls!E$1&amp;Controls!$B64&amp;""" name="""&amp;Controls!E$1&amp;""" wx:mode="""&amp;Controls!E64&amp;"""&gt;&lt;request&gt;&lt;representation mediaType="""&amp;Var!$B$18&amp;""" element=""sep:"&amp;Controls!$V64&amp;"""/&gt;&lt;representation mediaType="""&amp;Var!$B$19&amp;""" element=""sep:"&amp;Controls!$V64&amp;"""/&gt;&lt;/request&gt;"&amp;IF(Controls!E64="E","&lt;response status=""400""/&gt;&lt;response status=""405""/&gt;","")&amp;"&lt;/method&gt;"</f>
        <v>&lt;method id="PUTMirrorUsagePointList" name="PUT" wx:mode="E"&gt;&lt;request&gt;&lt;representation mediaType="application/sep+xml" element="sep:MirrorUsagePoint"/&gt;&lt;representation mediaType="application/sep-exi" element="sep:MirrorUsagePoint"/&gt;&lt;/request&gt;&lt;response status="400"/&gt;&lt;response status="405"/&gt;&lt;/method&gt;</v>
      </c>
      <c r="E64" s="1" t="str">
        <f>"&lt;method id="""&amp;Controls!F$1&amp;Controls!$B64&amp;""" name="""&amp;Controls!F$1&amp;""" wx:mode="""&amp;Controls!F64&amp;"""&gt;"&amp;IF(Controls!B64="MirrorUsagePoint",Var!$B$21,"&lt;request&gt;&lt;representation mediaType="""&amp;Var!$B$18&amp;""" element=""sep:"&amp;Controls!$V64&amp;"""/&gt;&lt;representation mediaType="""&amp;Var!$B$19&amp;""" element=""sep:"&amp;Controls!$V64&amp;"""/&gt;&lt;/request&gt;")&amp;IF(Controls!F64="E","&lt;response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id="POSTMirrorUsagePointList" name="POST" wx:mode="M"&gt;&lt;request&gt;&lt;representation mediaType="application/sep+xml" element="sep:MirrorUsagePoint"/&gt;&lt;representation mediaType="application/sep-exi" element="sep:MirrorUsagePoint"/&gt;&lt;/request&gt;&lt;response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64" s="1" t="str">
        <f>"&lt;method id="""&amp;Controls!G$1&amp;Controls!$B64&amp;""" name="""&amp;Controls!G$1&amp;""" wx:mode="""&amp;Controls!G64&amp;"""&gt;"&amp;IF(Controls!G64="E","&lt;response status=""400""/&gt;&lt;response status=""405""/&gt;","&lt;response&gt;&lt;representation mediaType=""application/xml"" element=""sep:"&amp;Controls!$V64&amp;"""/&gt;&lt;/response&gt;")&amp;"&lt;/method&gt;"</f>
        <v>&lt;method id="DELETEMirrorUsagePointList" name="DELETE" wx:mode="E"&gt;&lt;response status="400"/&gt;&lt;response status="405"/&gt;&lt;/method&gt;</v>
      </c>
      <c r="G64" s="1" t="str">
        <f ca="1">IF(ISBLANK(Controls!B64),"",OFFSET(Var!B$11,Controls!O64,0)&amp;"&lt;/resource&gt;")</f>
        <v>&lt;/resource&gt;</v>
      </c>
      <c r="I64" s="6" t="str">
        <f>IF(Controls!K64,"&lt;request&gt;&lt;param name=""s"" style=""query"" type=""xsd:int""&gt;&lt;doc&gt;start&lt;/doc&gt;&lt;/param&gt;"&amp;IF(Controls!L64,"&lt;param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65" spans="1:9" ht="49.5" customHeight="1">
      <c r="A65" s="1" t="str">
        <f>"&lt;resource id="""&amp;Controls!B65&amp;""" "&amp;IF(0,"path=""{"&amp;Controls!B65&amp;"Path}""","")&amp;" wx:samplePath="""&amp;Controls!C65&amp;"""&gt;&lt;doc title="""&amp;Controls!$B65&amp;"""&gt;"&amp;Controls!P65&amp;"&lt;/doc&gt;"</f>
        <v>&lt;resource id="MirrorUsagePoint"  wx:samplePath="/mup/{id1}"&gt;&lt;doc title="MirrorUsagePoint"&gt;Mirror Usage point instance including resources it supports.&lt;/doc&gt;</v>
      </c>
      <c r="B65" s="1" t="str">
        <f>"&lt;method id="""&amp;Controls!D$1&amp;Controls!$B65&amp;""" name="""&amp;Controls!D$1&amp;""" wx:mode="""&amp;Controls!D65&amp;"""&gt;"&amp;IF(Controls!D65="E","&lt;response status=""400""/&gt;&lt;response status=""405""/&gt;",I65&amp;"&lt;response&gt;&lt;representation mediaType="""&amp;Var!$B$18&amp;""" element=""sep:"&amp;Controls!$W65&amp;"""/&gt;&lt;representation mediaType="""&amp;Var!$B$19&amp;""" element=""sep:"&amp;Controls!$W65&amp;"""/&gt;&lt;/response&gt;")&amp;"&lt;/method&gt;"</f>
        <v>&lt;method id="GETMirrorUsagePoint" name="GET" wx:mode="O"&gt;&lt;response&gt;&lt;representation mediaType="application/sep+xml" element="sep:MirrorUsagePoint"/&gt;&lt;representation mediaType="application/sep-exi" element="sep:MirrorUsagePoint"/&gt;&lt;/response&gt;&lt;/method&gt;</v>
      </c>
      <c r="C65" s="1" t="str">
        <f>"&lt;method id=""HEAD"&amp;Controls!$B65&amp;""" name=""HEAD"" wx:mode="""&amp;Controls!D65&amp;"""/&gt;"</f>
        <v>&lt;method id="HEADMirrorUsagePoint" name="HEAD" wx:mode="O"/&gt;</v>
      </c>
      <c r="D65" s="1" t="str">
        <f>"&lt;method id="""&amp;Controls!E$1&amp;Controls!$B65&amp;""" name="""&amp;Controls!E$1&amp;""" wx:mode="""&amp;Controls!E65&amp;"""&gt;&lt;request&gt;&lt;representation mediaType="""&amp;Var!$B$18&amp;""" element=""sep:"&amp;Controls!$V65&amp;"""/&gt;&lt;representation mediaType="""&amp;Var!$B$19&amp;""" element=""sep:"&amp;Controls!$V65&amp;"""/&gt;&lt;/request&gt;"&amp;IF(Controls!E65="E","&lt;response status=""400""/&gt;&lt;response status=""405""/&gt;","")&amp;"&lt;/method&gt;"</f>
        <v>&lt;method id="PUTMirrorUsagePoint" name="PUT" wx:mode="M"&gt;&lt;request&gt;&lt;representation mediaType="application/sep+xml" element="sep:MirrorUsagePoint"/&gt;&lt;representation mediaType="application/sep-exi" element="sep:MirrorUsagePoint"/&gt;&lt;/request&gt;&lt;/method&gt;</v>
      </c>
      <c r="E65" s="1" t="str">
        <f>"&lt;method id="""&amp;Controls!F$1&amp;Controls!$B65&amp;""" name="""&amp;Controls!F$1&amp;""" wx:mode="""&amp;Controls!F65&amp;"""&gt;"&amp;IF(Controls!B65="MirrorUsagePoint",Var!$B$21,"&lt;request&gt;&lt;representation mediaType="""&amp;Var!$B$18&amp;""" element=""sep:"&amp;Controls!$V65&amp;"""/&gt;&lt;representation mediaType="""&amp;Var!$B$19&amp;""" element=""sep:"&amp;Controls!$V65&amp;"""/&gt;&lt;/request&gt;")&amp;IF(Controls!F65="E","&lt;response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id="POSTMirrorUsagePoint" name="POST" wx:mode="M"&gt;&lt;request&gt;&lt;representation mediaType="application/sep+xml" element="sep:MirrorMeterReadingList"/&gt;&lt;representation mediaType="application/sep-exi" element="sep:MirrorMeterReadingList"/&gt;&lt;representation mediaType="application/sep+xml" element="sep:MirrorMeterReading"/&gt;&lt;representation mediaType="application/sep-exi" element="sep:MirrorMeterReading" 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65" s="1" t="str">
        <f>"&lt;method id="""&amp;Controls!G$1&amp;Controls!$B65&amp;""" name="""&amp;Controls!G$1&amp;""" wx:mode="""&amp;Controls!G65&amp;"""&gt;"&amp;IF(Controls!G65="E","&lt;response status=""400""/&gt;&lt;response status=""405""/&gt;","&lt;response&gt;&lt;representation mediaType=""application/xml"" element=""sep:"&amp;Controls!$V65&amp;"""/&gt;&lt;/response&gt;")&amp;"&lt;/method&gt;"</f>
        <v>&lt;method id="DELETEMirrorUsagePoint" name="DELETE" wx:mode="M"&gt;&lt;response&gt;&lt;representation mediaType="application/xml" element="sep:MirrorUsagePoint"/&gt;&lt;/response&gt;&lt;/method&gt;</v>
      </c>
      <c r="G65" s="1" t="str">
        <f ca="1">IF(ISBLANK(Controls!B65),"",OFFSET(Var!B$11,Controls!O65,0)&amp;"&lt;/resource&gt;")</f>
        <v>&lt;wx:sampleParam name="id1" style="template" type="idType"/&gt;&lt;/resource&gt;</v>
      </c>
      <c r="I65" s="6" t="str">
        <f>IF(Controls!K65,"&lt;request&gt;&lt;param name=""s"" style=""query"" type=""xsd:int""&gt;&lt;doc&gt;start&lt;/doc&gt;&lt;/param&gt;"&amp;IF(Controls!L65,"&lt;param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66" spans="1:9" ht="49.5" customHeight="1">
      <c r="A66" s="1" t="str">
        <f>"&lt;resource id="""&amp;Controls!B66&amp;""" "&amp;IF(0,"path=""{"&amp;Controls!B66&amp;"Path}""","")&amp;" wx:samplePath="""&amp;Controls!C66&amp;"""&gt;&lt;doc title="""&amp;Controls!$B66&amp;"""&gt;"&amp;Controls!P66&amp;"&lt;/doc&gt;"</f>
        <v>&lt;resource id="TariffProfileList"  wx:samplePath="/tp"&gt;&lt;doc title="TariffProfileList"&gt;List of TariffProfile instances.&lt;/doc&gt;</v>
      </c>
      <c r="B66" s="1" t="str">
        <f>"&lt;method id="""&amp;Controls!D$1&amp;Controls!$B66&amp;""" name="""&amp;Controls!D$1&amp;""" wx:mode="""&amp;Controls!D66&amp;"""&gt;"&amp;IF(Controls!D66="E","&lt;response status=""400""/&gt;&lt;response status=""405""/&gt;",I66&amp;"&lt;response&gt;&lt;representation mediaType="""&amp;Var!$B$18&amp;""" element=""sep:"&amp;Controls!$W66&amp;"""/&gt;&lt;representation mediaType="""&amp;Var!$B$19&amp;""" element=""sep:"&amp;Controls!$W66&amp;"""/&gt;&lt;/response&gt;")&amp;"&lt;/method&gt;"</f>
        <v>&lt;method id="GETTariffProfileList"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element="sep:TariffProfileList"/&gt;&lt;representation mediaType="application/sep-exi" element="sep:TariffProfileList"/&gt;&lt;/response&gt;&lt;/method&gt;</v>
      </c>
      <c r="C66" s="1" t="str">
        <f>"&lt;method id=""HEAD"&amp;Controls!$B66&amp;""" name=""HEAD"" wx:mode="""&amp;Controls!D66&amp;"""/&gt;"</f>
        <v>&lt;method id="HEADTariffProfileList" name="HEAD" wx:mode="M"/&gt;</v>
      </c>
      <c r="D66" s="1" t="str">
        <f>"&lt;method id="""&amp;Controls!E$1&amp;Controls!$B66&amp;""" name="""&amp;Controls!E$1&amp;""" wx:mode="""&amp;Controls!E66&amp;"""&gt;&lt;request&gt;&lt;representation mediaType="""&amp;Var!$B$18&amp;""" element=""sep:"&amp;Controls!$V66&amp;"""/&gt;&lt;representation mediaType="""&amp;Var!$B$19&amp;""" element=""sep:"&amp;Controls!$V66&amp;"""/&gt;&lt;/request&gt;"&amp;IF(Controls!E66="E","&lt;response status=""400""/&gt;&lt;response status=""405""/&gt;","")&amp;"&lt;/method&gt;"</f>
        <v>&lt;method id="PUTTariffProfileList" name="PUT" wx:mode="E"&gt;&lt;request&gt;&lt;representation mediaType="application/sep+xml" element="sep:TariffProfile"/&gt;&lt;representation mediaType="application/sep-exi" element="sep:TariffProfile"/&gt;&lt;/request&gt;&lt;response status="400"/&gt;&lt;response status="405"/&gt;&lt;/method&gt;</v>
      </c>
      <c r="E66" s="1" t="str">
        <f>"&lt;method id="""&amp;Controls!F$1&amp;Controls!$B66&amp;""" name="""&amp;Controls!F$1&amp;""" wx:mode="""&amp;Controls!F66&amp;"""&gt;"&amp;IF(Controls!B66="MirrorUsagePoint",Var!$B$21,"&lt;request&gt;&lt;representation mediaType="""&amp;Var!$B$18&amp;""" element=""sep:"&amp;Controls!$V66&amp;"""/&gt;&lt;representation mediaType="""&amp;Var!$B$19&amp;""" element=""sep:"&amp;Controls!$V66&amp;"""/&gt;&lt;/request&gt;")&amp;IF(Controls!F66="E","&lt;response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id="POSTTariffProfileList" name="POST" wx:mode="D"&gt;&lt;request&gt;&lt;representation mediaType="application/sep+xml" element="sep:TariffProfile"/&gt;&lt;representation mediaType="application/sep-exi" element="sep:TariffProfile"/&gt;&lt;/request&gt;&lt;response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66" s="1" t="str">
        <f>"&lt;method id="""&amp;Controls!G$1&amp;Controls!$B66&amp;""" name="""&amp;Controls!G$1&amp;""" wx:mode="""&amp;Controls!G66&amp;"""&gt;"&amp;IF(Controls!G66="E","&lt;response status=""400""/&gt;&lt;response status=""405""/&gt;","&lt;response&gt;&lt;representation mediaType=""application/xml"" element=""sep:"&amp;Controls!$V66&amp;"""/&gt;&lt;/response&gt;")&amp;"&lt;/method&gt;"</f>
        <v>&lt;method id="DELETETariffProfileList" name="DELETE" wx:mode="E"&gt;&lt;response status="400"/&gt;&lt;response status="405"/&gt;&lt;/method&gt;</v>
      </c>
      <c r="G66" s="1" t="str">
        <f ca="1">IF(ISBLANK(Controls!B66),"",OFFSET(Var!B$11,Controls!O66,0)&amp;"&lt;/resource&gt;")</f>
        <v>&lt;/resource&gt;</v>
      </c>
      <c r="I66" s="6" t="str">
        <f>IF(Controls!K66,"&lt;request&gt;&lt;param name=""s"" style=""query"" type=""xsd:int""&gt;&lt;doc&gt;start&lt;/doc&gt;&lt;/param&gt;"&amp;IF(Controls!L66,"&lt;param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67" spans="1:9" ht="49.5" customHeight="1">
      <c r="A67" s="1" t="str">
        <f>"&lt;resource id="""&amp;Controls!B67&amp;""" "&amp;IF(0,"path=""{"&amp;Controls!B67&amp;"Path}""","")&amp;" wx:samplePath="""&amp;Controls!C67&amp;"""&gt;&lt;doc title="""&amp;Controls!$B67&amp;"""&gt;"&amp;Controls!P67&amp;"&lt;/doc&gt;"</f>
        <v>&lt;resource id="TariffProfile"  wx:samplePath="/tp/{id1}"&gt;&lt;doc title="TariffProfile"&gt;Specific TariffProfile instance.  Allows clients to obtain information about the rate code. &lt;/doc&gt;</v>
      </c>
      <c r="B67" s="1" t="str">
        <f>"&lt;method id="""&amp;Controls!D$1&amp;Controls!$B67&amp;""" name="""&amp;Controls!D$1&amp;""" wx:mode="""&amp;Controls!D67&amp;"""&gt;"&amp;IF(Controls!D67="E","&lt;response status=""400""/&gt;&lt;response status=""405""/&gt;",I67&amp;"&lt;response&gt;&lt;representation mediaType="""&amp;Var!$B$18&amp;""" element=""sep:"&amp;Controls!$W67&amp;"""/&gt;&lt;representation mediaType="""&amp;Var!$B$19&amp;""" element=""sep:"&amp;Controls!$W67&amp;"""/&gt;&lt;/response&gt;")&amp;"&lt;/method&gt;"</f>
        <v>&lt;method id="GETTariffProfile" name="GET" wx:mode="M"&gt;&lt;response&gt;&lt;representation mediaType="application/sep+xml" element="sep:TariffProfile"/&gt;&lt;representation mediaType="application/sep-exi" element="sep:TariffProfile"/&gt;&lt;/response&gt;&lt;/method&gt;</v>
      </c>
      <c r="C67" s="1" t="str">
        <f>"&lt;method id=""HEAD"&amp;Controls!$B67&amp;""" name=""HEAD"" wx:mode="""&amp;Controls!D67&amp;"""/&gt;"</f>
        <v>&lt;method id="HEADTariffProfile" name="HEAD" wx:mode="M"/&gt;</v>
      </c>
      <c r="D67" s="1" t="str">
        <f>"&lt;method id="""&amp;Controls!E$1&amp;Controls!$B67&amp;""" name="""&amp;Controls!E$1&amp;""" wx:mode="""&amp;Controls!E67&amp;"""&gt;&lt;request&gt;&lt;representation mediaType="""&amp;Var!$B$18&amp;""" element=""sep:"&amp;Controls!$V67&amp;"""/&gt;&lt;representation mediaType="""&amp;Var!$B$19&amp;""" element=""sep:"&amp;Controls!$V67&amp;"""/&gt;&lt;/request&gt;"&amp;IF(Controls!E67="E","&lt;response status=""400""/&gt;&lt;response status=""405""/&gt;","")&amp;"&lt;/method&gt;"</f>
        <v>&lt;method id="PUTTariffProfile" name="PUT" wx:mode="E"&gt;&lt;request&gt;&lt;representation mediaType="application/sep+xml" element="sep:TariffProfile"/&gt;&lt;representation mediaType="application/sep-exi" element="sep:TariffProfile"/&gt;&lt;/request&gt;&lt;response status="400"/&gt;&lt;response status="405"/&gt;&lt;/method&gt;</v>
      </c>
      <c r="E67" s="1" t="str">
        <f>"&lt;method id="""&amp;Controls!F$1&amp;Controls!$B67&amp;""" name="""&amp;Controls!F$1&amp;""" wx:mode="""&amp;Controls!F67&amp;"""&gt;"&amp;IF(Controls!B67="MirrorUsagePoint",Var!$B$21,"&lt;request&gt;&lt;representation mediaType="""&amp;Var!$B$18&amp;""" element=""sep:"&amp;Controls!$V67&amp;"""/&gt;&lt;representation mediaType="""&amp;Var!$B$19&amp;""" element=""sep:"&amp;Controls!$V67&amp;"""/&gt;&lt;/request&gt;")&amp;IF(Controls!F67="E","&lt;response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id="POSTTariffProfile" name="POST" wx:mode="E"&gt;&lt;request&gt;&lt;representation mediaType="application/sep+xml" element="sep:TariffProfile"/&gt;&lt;representation mediaType="application/sep-exi" element="sep:TariffProfile"/&gt;&lt;/request&gt;&lt;response status="400"/&gt;&lt;response status="405"/&gt;&lt;/method&gt;</v>
      </c>
      <c r="F67" s="1" t="str">
        <f>"&lt;method id="""&amp;Controls!G$1&amp;Controls!$B67&amp;""" name="""&amp;Controls!G$1&amp;""" wx:mode="""&amp;Controls!G67&amp;"""&gt;"&amp;IF(Controls!G67="E","&lt;response status=""400""/&gt;&lt;response status=""405""/&gt;","&lt;response&gt;&lt;representation mediaType=""application/xml"" element=""sep:"&amp;Controls!$V67&amp;"""/&gt;&lt;/response&gt;")&amp;"&lt;/method&gt;"</f>
        <v>&lt;method id="DELETETariffProfile" name="DELETE" wx:mode="D"&gt;&lt;response&gt;&lt;representation mediaType="application/xml" element="sep:TariffProfile"/&gt;&lt;/response&gt;&lt;/method&gt;</v>
      </c>
      <c r="G67" s="1" t="str">
        <f ca="1">IF(ISBLANK(Controls!B67),"",OFFSET(Var!B$11,Controls!O67,0)&amp;"&lt;/resource&gt;")</f>
        <v>&lt;wx:sampleParam name="id1" style="template" type="idType"/&gt;&lt;/resource&gt;</v>
      </c>
      <c r="I67" s="6" t="str">
        <f>IF(Controls!K67,"&lt;request&gt;&lt;param name=""s"" style=""query"" type=""xsd:int""&gt;&lt;doc&gt;start&lt;/doc&gt;&lt;/param&gt;"&amp;IF(Controls!L67,"&lt;param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68" spans="1:9" ht="49.5" customHeight="1">
      <c r="A68" s="1" t="str">
        <f>"&lt;resource id="""&amp;Controls!B68&amp;""" "&amp;IF(0,"path=""{"&amp;Controls!B68&amp;"Path}""","")&amp;" wx:samplePath="""&amp;Controls!C68&amp;"""&gt;&lt;doc title="""&amp;Controls!$B68&amp;"""&gt;"&amp;Controls!P68&amp;"&lt;/doc&gt;"</f>
        <v>&lt;resource id="RateComponentList"  wx:samplePath="/tp/{id1}/rc"&gt;&lt;doc title="RateComponentList"&gt;List of RateComponent instances.  This list  specifies a rate-specific container for the charges associated with a specific ReadingType, also referenced by the Metering function set.&lt;/doc&gt;</v>
      </c>
      <c r="B68" s="1" t="str">
        <f>"&lt;method id="""&amp;Controls!D$1&amp;Controls!$B68&amp;""" name="""&amp;Controls!D$1&amp;""" wx:mode="""&amp;Controls!D68&amp;"""&gt;"&amp;IF(Controls!D68="E","&lt;response status=""400""/&gt;&lt;response status=""405""/&gt;",I68&amp;"&lt;response&gt;&lt;representation mediaType="""&amp;Var!$B$18&amp;""" element=""sep:"&amp;Controls!$W68&amp;"""/&gt;&lt;representation mediaType="""&amp;Var!$B$19&amp;""" element=""sep:"&amp;Controls!$W68&amp;"""/&gt;&lt;/response&gt;")&amp;"&lt;/method&gt;"</f>
        <v>&lt;method id="GETRateComponentList"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element="sep:RateComponentList"/&gt;&lt;representation mediaType="application/sep-exi" element="sep:RateComponentList"/&gt;&lt;/response&gt;&lt;/method&gt;</v>
      </c>
      <c r="C68" s="1" t="str">
        <f>"&lt;method id=""HEAD"&amp;Controls!$B68&amp;""" name=""HEAD"" wx:mode="""&amp;Controls!D68&amp;"""/&gt;"</f>
        <v>&lt;method id="HEADRateComponentList" name="HEAD" wx:mode="M"/&gt;</v>
      </c>
      <c r="D68" s="1" t="str">
        <f>"&lt;method id="""&amp;Controls!E$1&amp;Controls!$B68&amp;""" name="""&amp;Controls!E$1&amp;""" wx:mode="""&amp;Controls!E68&amp;"""&gt;&lt;request&gt;&lt;representation mediaType="""&amp;Var!$B$18&amp;""" element=""sep:"&amp;Controls!$V68&amp;"""/&gt;&lt;representation mediaType="""&amp;Var!$B$19&amp;""" element=""sep:"&amp;Controls!$V68&amp;"""/&gt;&lt;/request&gt;"&amp;IF(Controls!E68="E","&lt;response status=""400""/&gt;&lt;response status=""405""/&gt;","")&amp;"&lt;/method&gt;"</f>
        <v>&lt;method id="PUTRateComponentList" name="PUT" wx:mode="E"&gt;&lt;request&gt;&lt;representation mediaType="application/sep+xml" element="sep:RateComponent"/&gt;&lt;representation mediaType="application/sep-exi" element="sep:RateComponent"/&gt;&lt;/request&gt;&lt;response status="400"/&gt;&lt;response status="405"/&gt;&lt;/method&gt;</v>
      </c>
      <c r="E68" s="1" t="str">
        <f>"&lt;method id="""&amp;Controls!F$1&amp;Controls!$B68&amp;""" name="""&amp;Controls!F$1&amp;""" wx:mode="""&amp;Controls!F68&amp;"""&gt;"&amp;IF(Controls!B68="MirrorUsagePoint",Var!$B$21,"&lt;request&gt;&lt;representation mediaType="""&amp;Var!$B$18&amp;""" element=""sep:"&amp;Controls!$V68&amp;"""/&gt;&lt;representation mediaType="""&amp;Var!$B$19&amp;""" element=""sep:"&amp;Controls!$V68&amp;"""/&gt;&lt;/request&gt;")&amp;IF(Controls!F68="E","&lt;response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id="POSTRateComponentList" name="POST" wx:mode="D"&gt;&lt;request&gt;&lt;representation mediaType="application/sep+xml" element="sep:RateComponent"/&gt;&lt;representation mediaType="application/sep-exi" element="sep:RateComponent"/&gt;&lt;/request&gt;&lt;response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68" s="1" t="str">
        <f>"&lt;method id="""&amp;Controls!G$1&amp;Controls!$B68&amp;""" name="""&amp;Controls!G$1&amp;""" wx:mode="""&amp;Controls!G68&amp;"""&gt;"&amp;IF(Controls!G68="E","&lt;response status=""400""/&gt;&lt;response status=""405""/&gt;","&lt;response&gt;&lt;representation mediaType=""application/xml"" element=""sep:"&amp;Controls!$V68&amp;"""/&gt;&lt;/response&gt;")&amp;"&lt;/method&gt;"</f>
        <v>&lt;method id="DELETERateComponentList" name="DELETE" wx:mode="E"&gt;&lt;response status="400"/&gt;&lt;response status="405"/&gt;&lt;/method&gt;</v>
      </c>
      <c r="G68" s="1" t="str">
        <f ca="1">IF(ISBLANK(Controls!B68),"",OFFSET(Var!B$11,Controls!O68,0)&amp;"&lt;/resource&gt;")</f>
        <v>&lt;wx:sampleParam name="id1" style="template" type="idType"/&gt;&lt;/resource&gt;</v>
      </c>
      <c r="I68" s="6" t="str">
        <f>IF(Controls!K68,"&lt;request&gt;&lt;param name=""s"" style=""query"" type=""xsd:int""&gt;&lt;doc&gt;start&lt;/doc&gt;&lt;/param&gt;"&amp;IF(Controls!L68,"&lt;param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69" spans="1:9" ht="49.5" customHeight="1">
      <c r="A69" s="1" t="str">
        <f>"&lt;resource id="""&amp;Controls!B69&amp;""" "&amp;IF(0,"path=""{"&amp;Controls!B69&amp;"Path}""","")&amp;" wx:samplePath="""&amp;Controls!C69&amp;"""&gt;&lt;doc title="""&amp;Controls!$B69&amp;"""&gt;"&amp;Controls!P69&amp;"&lt;/doc&gt;"</f>
        <v>&lt;resource id="RateComponent"  wx:samplePath="/tp/{id1}/rc/{id2}"&gt;&lt;doc title="RateComponent"&gt;Specific RateComponent instance.  Includes link(s) to the list of TimeTariffIntervals that apply to referenced ReadingType for the RateComponent instance.&lt;/doc&gt;</v>
      </c>
      <c r="B69" s="1" t="str">
        <f>"&lt;method id="""&amp;Controls!D$1&amp;Controls!$B69&amp;""" name="""&amp;Controls!D$1&amp;""" wx:mode="""&amp;Controls!D69&amp;"""&gt;"&amp;IF(Controls!D69="E","&lt;response status=""400""/&gt;&lt;response status=""405""/&gt;",I69&amp;"&lt;response&gt;&lt;representation mediaType="""&amp;Var!$B$18&amp;""" element=""sep:"&amp;Controls!$W69&amp;"""/&gt;&lt;representation mediaType="""&amp;Var!$B$19&amp;""" element=""sep:"&amp;Controls!$W69&amp;"""/&gt;&lt;/response&gt;")&amp;"&lt;/method&gt;"</f>
        <v>&lt;method id="GETRateComponent" name="GET" wx:mode="M"&gt;&lt;response&gt;&lt;representation mediaType="application/sep+xml" element="sep:RateComponent"/&gt;&lt;representation mediaType="application/sep-exi" element="sep:RateComponent"/&gt;&lt;/response&gt;&lt;/method&gt;</v>
      </c>
      <c r="C69" s="1" t="str">
        <f>"&lt;method id=""HEAD"&amp;Controls!$B69&amp;""" name=""HEAD"" wx:mode="""&amp;Controls!D69&amp;"""/&gt;"</f>
        <v>&lt;method id="HEADRateComponent" name="HEAD" wx:mode="M"/&gt;</v>
      </c>
      <c r="D69" s="1" t="str">
        <f>"&lt;method id="""&amp;Controls!E$1&amp;Controls!$B69&amp;""" name="""&amp;Controls!E$1&amp;""" wx:mode="""&amp;Controls!E69&amp;"""&gt;&lt;request&gt;&lt;representation mediaType="""&amp;Var!$B$18&amp;""" element=""sep:"&amp;Controls!$V69&amp;"""/&gt;&lt;representation mediaType="""&amp;Var!$B$19&amp;""" element=""sep:"&amp;Controls!$V69&amp;"""/&gt;&lt;/request&gt;"&amp;IF(Controls!E69="E","&lt;response status=""400""/&gt;&lt;response status=""405""/&gt;","")&amp;"&lt;/method&gt;"</f>
        <v>&lt;method id="PUTRateComponent" name="PUT" wx:mode="E"&gt;&lt;request&gt;&lt;representation mediaType="application/sep+xml" element="sep:RateComponent"/&gt;&lt;representation mediaType="application/sep-exi" element="sep:RateComponent"/&gt;&lt;/request&gt;&lt;response status="400"/&gt;&lt;response status="405"/&gt;&lt;/method&gt;</v>
      </c>
      <c r="E69" s="1" t="str">
        <f>"&lt;method id="""&amp;Controls!F$1&amp;Controls!$B69&amp;""" name="""&amp;Controls!F$1&amp;""" wx:mode="""&amp;Controls!F69&amp;"""&gt;"&amp;IF(Controls!B69="MirrorUsagePoint",Var!$B$21,"&lt;request&gt;&lt;representation mediaType="""&amp;Var!$B$18&amp;""" element=""sep:"&amp;Controls!$V69&amp;"""/&gt;&lt;representation mediaType="""&amp;Var!$B$19&amp;""" element=""sep:"&amp;Controls!$V69&amp;"""/&gt;&lt;/request&gt;")&amp;IF(Controls!F69="E","&lt;response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id="POSTRateComponent" name="POST" wx:mode="E"&gt;&lt;request&gt;&lt;representation mediaType="application/sep+xml" element="sep:RateComponent"/&gt;&lt;representation mediaType="application/sep-exi" element="sep:RateComponent"/&gt;&lt;/request&gt;&lt;response status="400"/&gt;&lt;response status="405"/&gt;&lt;/method&gt;</v>
      </c>
      <c r="F69" s="1" t="str">
        <f>"&lt;method id="""&amp;Controls!G$1&amp;Controls!$B69&amp;""" name="""&amp;Controls!G$1&amp;""" wx:mode="""&amp;Controls!G69&amp;"""&gt;"&amp;IF(Controls!G69="E","&lt;response status=""400""/&gt;&lt;response status=""405""/&gt;","&lt;response&gt;&lt;representation mediaType=""application/xml"" element=""sep:"&amp;Controls!$V69&amp;"""/&gt;&lt;/response&gt;")&amp;"&lt;/method&gt;"</f>
        <v>&lt;method id="DELETERateComponent" name="DELETE" wx:mode="D"&gt;&lt;response&gt;&lt;representation mediaType="application/xml" element="sep:RateComponent"/&gt;&lt;/response&gt;&lt;/method&gt;</v>
      </c>
      <c r="G69" s="1" t="str">
        <f ca="1">IF(ISBLANK(Controls!B69),"",OFFSET(Var!B$11,Controls!O69,0)&amp;"&lt;/resource&gt;")</f>
        <v>&lt;wx:sampleParam name="id1" style="template" type="idType"/&gt;&lt;wx:sampleParam name="id2" style="template" type="idType"/&gt;&lt;/resource&gt;</v>
      </c>
      <c r="I69" s="6" t="str">
        <f>IF(Controls!K69,"&lt;request&gt;&lt;param name=""s"" style=""query"" type=""xsd:int""&gt;&lt;doc&gt;start&lt;/doc&gt;&lt;/param&gt;"&amp;IF(Controls!L69,"&lt;param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70" spans="1:9" ht="49.5" customHeight="1">
      <c r="A70" s="1" t="str">
        <f>"&lt;resource id="""&amp;Controls!B70&amp;""" "&amp;IF(0,"path=""{"&amp;Controls!B70&amp;"Path}""","")&amp;" wx:samplePath="""&amp;Controls!C70&amp;"""&gt;&lt;doc title="""&amp;Controls!$B70&amp;"""&gt;"&amp;Controls!P70&amp;"&lt;/doc&gt;"</f>
        <v>&lt;resource id="ActiveTimeTariffIntervalList"  wx:samplePath="/tp/{id1}/rc/{id2}/acttti"&gt;&lt;doc title="ActiveTimeTariffIntervalList"&gt;The active TimeTariffInterval instance(s) for a particular TariffProfile.&lt;/doc&gt;</v>
      </c>
      <c r="B70" s="1" t="str">
        <f>"&lt;method id="""&amp;Controls!D$1&amp;Controls!$B70&amp;""" name="""&amp;Controls!D$1&amp;""" wx:mode="""&amp;Controls!D70&amp;"""&gt;"&amp;IF(Controls!D70="E","&lt;response status=""400""/&gt;&lt;response status=""405""/&gt;",I70&amp;"&lt;response&gt;&lt;representation mediaType="""&amp;Var!$B$18&amp;""" element=""sep:"&amp;Controls!$W70&amp;"""/&gt;&lt;representation mediaType="""&amp;Var!$B$19&amp;""" element=""sep:"&amp;Controls!$W70&amp;"""/&gt;&lt;/response&gt;")&amp;"&lt;/method&gt;"</f>
        <v>&lt;method id="GETActiveTimeTariffIntervalList"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element="sep:TimeTariffIntervalList"/&gt;&lt;representation mediaType="application/sep-exi" element="sep:TimeTariffIntervalList"/&gt;&lt;/response&gt;&lt;/method&gt;</v>
      </c>
      <c r="C70" s="1" t="str">
        <f>"&lt;method id=""HEAD"&amp;Controls!$B70&amp;""" name=""HEAD"" wx:mode="""&amp;Controls!D70&amp;"""/&gt;"</f>
        <v>&lt;method id="HEADActiveTimeTariffIntervalList" name="HEAD" wx:mode="M"/&gt;</v>
      </c>
      <c r="D70" s="1" t="str">
        <f>"&lt;method id="""&amp;Controls!E$1&amp;Controls!$B70&amp;""" name="""&amp;Controls!E$1&amp;""" wx:mode="""&amp;Controls!E70&amp;"""&gt;&lt;request&gt;&lt;representation mediaType="""&amp;Var!$B$18&amp;""" element=""sep:"&amp;Controls!$V70&amp;"""/&gt;&lt;representation mediaType="""&amp;Var!$B$19&amp;""" element=""sep:"&amp;Controls!$V70&amp;"""/&gt;&lt;/request&gt;"&amp;IF(Controls!E70="E","&lt;response status=""400""/&gt;&lt;response status=""405""/&gt;","")&amp;"&lt;/method&gt;"</f>
        <v>&lt;method id="PUTActiveTimeTariffIntervalList" name="PUT" wx:mode="E"&gt;&lt;request&gt;&lt;representation mediaType="application/sep+xml" element="sep:TimeTariffInterval"/&gt;&lt;representation mediaType="application/sep-exi" element="sep:TimeTariffInterval"/&gt;&lt;/request&gt;&lt;response status="400"/&gt;&lt;response status="405"/&gt;&lt;/method&gt;</v>
      </c>
      <c r="E70" s="1" t="str">
        <f>"&lt;method id="""&amp;Controls!F$1&amp;Controls!$B70&amp;""" name="""&amp;Controls!F$1&amp;""" wx:mode="""&amp;Controls!F70&amp;"""&gt;"&amp;IF(Controls!B70="MirrorUsagePoint",Var!$B$21,"&lt;request&gt;&lt;representation mediaType="""&amp;Var!$B$18&amp;""" element=""sep:"&amp;Controls!$V70&amp;"""/&gt;&lt;representation mediaType="""&amp;Var!$B$19&amp;""" element=""sep:"&amp;Controls!$V70&amp;"""/&gt;&lt;/request&gt;")&amp;IF(Controls!F70="E","&lt;response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id="POSTActiveTimeTariffIntervalList" name="POST" wx:mode="E"&gt;&lt;request&gt;&lt;representation mediaType="application/sep+xml" element="sep:TimeTariffInterval"/&gt;&lt;representation mediaType="application/sep-exi" element="sep:TimeTariffInterval"/&gt;&lt;/request&gt;&lt;response status="400"/&gt;&lt;response status="405"/&gt;&lt;/method&gt;</v>
      </c>
      <c r="F70" s="1" t="str">
        <f>"&lt;method id="""&amp;Controls!G$1&amp;Controls!$B70&amp;""" name="""&amp;Controls!G$1&amp;""" wx:mode="""&amp;Controls!G70&amp;"""&gt;"&amp;IF(Controls!G70="E","&lt;response status=""400""/&gt;&lt;response status=""405""/&gt;","&lt;response&gt;&lt;representation mediaType=""application/xml"" element=""sep:"&amp;Controls!$V70&amp;"""/&gt;&lt;/response&gt;")&amp;"&lt;/method&gt;"</f>
        <v>&lt;method id="DELETEActiveTimeTariffIntervalList" name="DELETE" wx:mode="E"&gt;&lt;response status="400"/&gt;&lt;response status="405"/&gt;&lt;/method&gt;</v>
      </c>
      <c r="G70" s="1" t="str">
        <f ca="1">IF(ISBLANK(Controls!B70),"",OFFSET(Var!B$11,Controls!O70,0)&amp;"&lt;/resource&gt;")</f>
        <v>&lt;wx:sampleParam name="id1" style="template" type="idType"/&gt;&lt;wx:sampleParam name="id2" style="template" type="idType"/&gt;&lt;/resource&gt;</v>
      </c>
      <c r="I70" s="6" t="str">
        <f>IF(Controls!K70,"&lt;request&gt;&lt;param name=""s"" style=""query"" type=""xsd:int""&gt;&lt;doc&gt;start&lt;/doc&gt;&lt;/param&gt;"&amp;IF(Controls!L70,"&lt;param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71" spans="1:9" ht="49.5" customHeight="1">
      <c r="A71" s="1" t="str">
        <f>"&lt;resource id="""&amp;Controls!B71&amp;""" "&amp;IF(0,"path=""{"&amp;Controls!B71&amp;"Path}""","")&amp;" wx:samplePath="""&amp;Controls!C71&amp;"""&gt;&lt;doc title="""&amp;Controls!$B71&amp;"""&gt;"&amp;Controls!P71&amp;"&lt;/doc&gt;"</f>
        <v>&lt;resource id="TimeTariffIntervalList"  wx:samplePath="/tp/{id1}/rc/{id2}/tti"&gt;&lt;doc title="TimeTariffIntervalList"&gt;Collection of TimeTariffInterval instances, including associated ConsumptionTariffInterval.&lt;/doc&gt;</v>
      </c>
      <c r="B71" s="1" t="str">
        <f>"&lt;method id="""&amp;Controls!D$1&amp;Controls!$B71&amp;""" name="""&amp;Controls!D$1&amp;""" wx:mode="""&amp;Controls!D71&amp;"""&gt;"&amp;IF(Controls!D71="E","&lt;response status=""400""/&gt;&lt;response status=""405""/&gt;",I71&amp;"&lt;response&gt;&lt;representation mediaType="""&amp;Var!$B$18&amp;""" element=""sep:"&amp;Controls!$W71&amp;"""/&gt;&lt;representation mediaType="""&amp;Var!$B$19&amp;""" element=""sep:"&amp;Controls!$W71&amp;"""/&gt;&lt;/response&gt;")&amp;"&lt;/method&gt;"</f>
        <v>&lt;method id="GETTimeTariffIntervalList"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element="sep:TimeTariffIntervalList"/&gt;&lt;representation mediaType="application/sep-exi" element="sep:TimeTariffIntervalList"/&gt;&lt;/response&gt;&lt;/method&gt;</v>
      </c>
      <c r="C71" s="1" t="str">
        <f>"&lt;method id=""HEAD"&amp;Controls!$B71&amp;""" name=""HEAD"" wx:mode="""&amp;Controls!D71&amp;"""/&gt;"</f>
        <v>&lt;method id="HEADTimeTariffIntervalList" name="HEAD" wx:mode="M"/&gt;</v>
      </c>
      <c r="D71" s="1" t="str">
        <f>"&lt;method id="""&amp;Controls!E$1&amp;Controls!$B71&amp;""" name="""&amp;Controls!E$1&amp;""" wx:mode="""&amp;Controls!E71&amp;"""&gt;&lt;request&gt;&lt;representation mediaType="""&amp;Var!$B$18&amp;""" element=""sep:"&amp;Controls!$V71&amp;"""/&gt;&lt;representation mediaType="""&amp;Var!$B$19&amp;""" element=""sep:"&amp;Controls!$V71&amp;"""/&gt;&lt;/request&gt;"&amp;IF(Controls!E71="E","&lt;response status=""400""/&gt;&lt;response status=""405""/&gt;","")&amp;"&lt;/method&gt;"</f>
        <v>&lt;method id="PUTTimeTariffIntervalList" name="PUT" wx:mode="E"&gt;&lt;request&gt;&lt;representation mediaType="application/sep+xml" element="sep:TimeTariffInterval"/&gt;&lt;representation mediaType="application/sep-exi" element="sep:TimeTariffInterval"/&gt;&lt;/request&gt;&lt;response status="400"/&gt;&lt;response status="405"/&gt;&lt;/method&gt;</v>
      </c>
      <c r="E71" s="1" t="str">
        <f>"&lt;method id="""&amp;Controls!F$1&amp;Controls!$B71&amp;""" name="""&amp;Controls!F$1&amp;""" wx:mode="""&amp;Controls!F71&amp;"""&gt;"&amp;IF(Controls!B71="MirrorUsagePoint",Var!$B$21,"&lt;request&gt;&lt;representation mediaType="""&amp;Var!$B$18&amp;""" element=""sep:"&amp;Controls!$V71&amp;"""/&gt;&lt;representation mediaType="""&amp;Var!$B$19&amp;""" element=""sep:"&amp;Controls!$V71&amp;"""/&gt;&lt;/request&gt;")&amp;IF(Controls!F71="E","&lt;response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id="POSTTimeTariffIntervalList" name="POST" wx:mode="D"&gt;&lt;request&gt;&lt;representation mediaType="application/sep+xml" element="sep:TimeTariffInterval"/&gt;&lt;representation mediaType="application/sep-exi" element="sep:TimeTariffInterval"/&gt;&lt;/request&gt;&lt;response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71" s="1" t="str">
        <f>"&lt;method id="""&amp;Controls!G$1&amp;Controls!$B71&amp;""" name="""&amp;Controls!G$1&amp;""" wx:mode="""&amp;Controls!G71&amp;"""&gt;"&amp;IF(Controls!G71="E","&lt;response status=""400""/&gt;&lt;response status=""405""/&gt;","&lt;response&gt;&lt;representation mediaType=""application/xml"" element=""sep:"&amp;Controls!$V71&amp;"""/&gt;&lt;/response&gt;")&amp;"&lt;/method&gt;"</f>
        <v>&lt;method id="DELETETimeTariffIntervalList" name="DELETE" wx:mode="E"&gt;&lt;response status="400"/&gt;&lt;response status="405"/&gt;&lt;/method&gt;</v>
      </c>
      <c r="G71" s="1" t="str">
        <f ca="1">IF(ISBLANK(Controls!B71),"",OFFSET(Var!B$11,Controls!O71,0)&amp;"&lt;/resource&gt;")</f>
        <v>&lt;wx:sampleParam name="id1" style="template" type="idType"/&gt;&lt;wx:sampleParam name="id2" style="template" type="idType"/&gt;&lt;/resource&gt;</v>
      </c>
      <c r="I71" s="6" t="str">
        <f>IF(Controls!K71,"&lt;request&gt;&lt;param name=""s"" style=""query"" type=""xsd:int""&gt;&lt;doc&gt;start&lt;/doc&gt;&lt;/param&gt;"&amp;IF(Controls!L71,"&lt;param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72" spans="1:9" ht="49.5" customHeight="1">
      <c r="A72" s="1" t="str">
        <f>"&lt;resource id="""&amp;Controls!B72&amp;""" "&amp;IF(0,"path=""{"&amp;Controls!B72&amp;"Path}""","")&amp;" wx:samplePath="""&amp;Controls!C72&amp;"""&gt;&lt;doc title="""&amp;Controls!$B72&amp;"""&gt;"&amp;Controls!P72&amp;"&lt;/doc&gt;"</f>
        <v>&lt;resource id="TimeTariffInterval"  wx:samplePath="/tp/{id1}/rc/{id2}/tti/{id3}"&gt;&lt;doc title="TimeTariffInterval"&gt;Specific TimeTariffInterval instance that represents a unique usage interval and associated charges for the premises.&lt;/doc&gt;</v>
      </c>
      <c r="B72" s="1" t="str">
        <f>"&lt;method id="""&amp;Controls!D$1&amp;Controls!$B72&amp;""" name="""&amp;Controls!D$1&amp;""" wx:mode="""&amp;Controls!D72&amp;"""&gt;"&amp;IF(Controls!D72="E","&lt;response status=""400""/&gt;&lt;response status=""405""/&gt;",I72&amp;"&lt;response&gt;&lt;representation mediaType="""&amp;Var!$B$18&amp;""" element=""sep:"&amp;Controls!$W72&amp;"""/&gt;&lt;representation mediaType="""&amp;Var!$B$19&amp;""" element=""sep:"&amp;Controls!$W72&amp;"""/&gt;&lt;/response&gt;")&amp;"&lt;/method&gt;"</f>
        <v>&lt;method id="GETTimeTariffInterval" name="GET" wx:mode="M"&gt;&lt;response&gt;&lt;representation mediaType="application/sep+xml" element="sep:TimeTariffInterval"/&gt;&lt;representation mediaType="application/sep-exi" element="sep:TimeTariffInterval"/&gt;&lt;/response&gt;&lt;/method&gt;</v>
      </c>
      <c r="C72" s="1" t="str">
        <f>"&lt;method id=""HEAD"&amp;Controls!$B72&amp;""" name=""HEAD"" wx:mode="""&amp;Controls!D72&amp;"""/&gt;"</f>
        <v>&lt;method id="HEADTimeTariffInterval" name="HEAD" wx:mode="M"/&gt;</v>
      </c>
      <c r="D72" s="1" t="str">
        <f>"&lt;method id="""&amp;Controls!E$1&amp;Controls!$B72&amp;""" name="""&amp;Controls!E$1&amp;""" wx:mode="""&amp;Controls!E72&amp;"""&gt;&lt;request&gt;&lt;representation mediaType="""&amp;Var!$B$18&amp;""" element=""sep:"&amp;Controls!$V72&amp;"""/&gt;&lt;representation mediaType="""&amp;Var!$B$19&amp;""" element=""sep:"&amp;Controls!$V72&amp;"""/&gt;&lt;/request&gt;"&amp;IF(Controls!E72="E","&lt;response status=""400""/&gt;&lt;response status=""405""/&gt;","")&amp;"&lt;/method&gt;"</f>
        <v>&lt;method id="PUTTimeTariffInterval" name="PUT" wx:mode="E"&gt;&lt;request&gt;&lt;representation mediaType="application/sep+xml" element="sep:TimeTariffInterval"/&gt;&lt;representation mediaType="application/sep-exi" element="sep:TimeTariffInterval"/&gt;&lt;/request&gt;&lt;response status="400"/&gt;&lt;response status="405"/&gt;&lt;/method&gt;</v>
      </c>
      <c r="E72" s="1" t="str">
        <f>"&lt;method id="""&amp;Controls!F$1&amp;Controls!$B72&amp;""" name="""&amp;Controls!F$1&amp;""" wx:mode="""&amp;Controls!F72&amp;"""&gt;"&amp;IF(Controls!B72="MirrorUsagePoint",Var!$B$21,"&lt;request&gt;&lt;representation mediaType="""&amp;Var!$B$18&amp;""" element=""sep:"&amp;Controls!$V72&amp;"""/&gt;&lt;representation mediaType="""&amp;Var!$B$19&amp;""" element=""sep:"&amp;Controls!$V72&amp;"""/&gt;&lt;/request&gt;")&amp;IF(Controls!F72="E","&lt;response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id="POSTTimeTariffInterval" name="POST" wx:mode="E"&gt;&lt;request&gt;&lt;representation mediaType="application/sep+xml" element="sep:TimeTariffInterval"/&gt;&lt;representation mediaType="application/sep-exi" element="sep:TimeTariffInterval"/&gt;&lt;/request&gt;&lt;response status="400"/&gt;&lt;response status="405"/&gt;&lt;/method&gt;</v>
      </c>
      <c r="F72" s="1" t="str">
        <f>"&lt;method id="""&amp;Controls!G$1&amp;Controls!$B72&amp;""" name="""&amp;Controls!G$1&amp;""" wx:mode="""&amp;Controls!G72&amp;"""&gt;"&amp;IF(Controls!G72="E","&lt;response status=""400""/&gt;&lt;response status=""405""/&gt;","&lt;response&gt;&lt;representation mediaType=""application/xml"" element=""sep:"&amp;Controls!$V72&amp;"""/&gt;&lt;/response&gt;")&amp;"&lt;/method&gt;"</f>
        <v>&lt;method id="DELETETimeTariffInterval" name="DELETE" wx:mode="D"&gt;&lt;response&gt;&lt;representation mediaType="application/xml" element="sep:TimeTariffInterval"/&gt;&lt;/response&gt;&lt;/method&gt;</v>
      </c>
      <c r="G72" s="1" t="str">
        <f ca="1">IF(ISBLANK(Controls!B72),"",OFFSET(Var!B$11,Controls!O72,0)&amp;"&lt;/resource&gt;")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72" s="6" t="str">
        <f>IF(Controls!K72,"&lt;request&gt;&lt;param name=""s"" style=""query"" type=""xsd:int""&gt;&lt;doc&gt;start&lt;/doc&gt;&lt;/param&gt;"&amp;IF(Controls!L72,"&lt;param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73" spans="1:9" ht="49.5" customHeight="1">
      <c r="A73" s="1" t="str">
        <f>"&lt;resource id="""&amp;Controls!B73&amp;""" "&amp;IF(0,"path=""{"&amp;Controls!B73&amp;"Path}""","")&amp;" wx:samplePath="""&amp;Controls!C73&amp;"""&gt;&lt;doc title="""&amp;Controls!$B73&amp;"""&gt;"&amp;Controls!P73&amp;"&lt;/doc&gt;"</f>
        <v>&lt;resource id="ConsumptionTariffIntervalList"  wx:samplePath="/tp/{id1}/rc/{id2}/tti/{id3}/cti"&gt;&lt;doc title="ConsumptionTariffIntervalList"&gt;List of ConsumptionTariffInterval instances.&lt;/doc&gt;</v>
      </c>
      <c r="B73" s="1" t="str">
        <f>"&lt;method id="""&amp;Controls!D$1&amp;Controls!$B73&amp;""" name="""&amp;Controls!D$1&amp;""" wx:mode="""&amp;Controls!D73&amp;"""&gt;"&amp;IF(Controls!D73="E","&lt;response status=""400""/&gt;&lt;response status=""405""/&gt;",I73&amp;"&lt;response&gt;&lt;representation mediaType="""&amp;Var!$B$18&amp;""" element=""sep:"&amp;Controls!$W73&amp;"""/&gt;&lt;representation mediaType="""&amp;Var!$B$19&amp;""" element=""sep:"&amp;Controls!$W73&amp;"""/&gt;&lt;/response&gt;")&amp;"&lt;/method&gt;"</f>
        <v>&lt;method id="GETConsumptionTariffIntervalList"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element="sep:ConsumptionTariffIntervalList"/&gt;&lt;representation mediaType="application/sep-exi" element="sep:ConsumptionTariffIntervalList"/&gt;&lt;/response&gt;&lt;/method&gt;</v>
      </c>
      <c r="C73" s="1" t="str">
        <f>"&lt;method id=""HEAD"&amp;Controls!$B73&amp;""" name=""HEAD"" wx:mode="""&amp;Controls!D73&amp;"""/&gt;"</f>
        <v>&lt;method id="HEADConsumptionTariffIntervalList" name="HEAD" wx:mode="M"/&gt;</v>
      </c>
      <c r="D73" s="1" t="str">
        <f>"&lt;method id="""&amp;Controls!E$1&amp;Controls!$B73&amp;""" name="""&amp;Controls!E$1&amp;""" wx:mode="""&amp;Controls!E73&amp;"""&gt;&lt;request&gt;&lt;representation mediaType="""&amp;Var!$B$18&amp;""" element=""sep:"&amp;Controls!$V73&amp;"""/&gt;&lt;representation mediaType="""&amp;Var!$B$19&amp;""" element=""sep:"&amp;Controls!$V73&amp;"""/&gt;&lt;/request&gt;"&amp;IF(Controls!E73="E","&lt;response status=""400""/&gt;&lt;response status=""405""/&gt;","")&amp;"&lt;/method&gt;"</f>
        <v>&lt;method id="PUTConsumptionTariffIntervalList" name="PUT" wx:mode="E"&gt;&lt;request&gt;&lt;representation mediaType="application/sep+xml" element="sep:ConsumptionTariffInterval"/&gt;&lt;representation mediaType="application/sep-exi" element="sep:ConsumptionTariffInterval"/&gt;&lt;/request&gt;&lt;response status="400"/&gt;&lt;response status="405"/&gt;&lt;/method&gt;</v>
      </c>
      <c r="E73" s="1" t="str">
        <f>"&lt;method id="""&amp;Controls!F$1&amp;Controls!$B73&amp;""" name="""&amp;Controls!F$1&amp;""" wx:mode="""&amp;Controls!F73&amp;"""&gt;"&amp;IF(Controls!B73="MirrorUsagePoint",Var!$B$21,"&lt;request&gt;&lt;representation mediaType="""&amp;Var!$B$18&amp;""" element=""sep:"&amp;Controls!$V73&amp;"""/&gt;&lt;representation mediaType="""&amp;Var!$B$19&amp;""" element=""sep:"&amp;Controls!$V73&amp;"""/&gt;&lt;/request&gt;")&amp;IF(Controls!F73="E","&lt;response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id="POSTConsumptionTariffIntervalList" name="POST" wx:mode="D"&gt;&lt;request&gt;&lt;representation mediaType="application/sep+xml" element="sep:ConsumptionTariffInterval"/&gt;&lt;representation mediaType="application/sep-exi" element="sep:ConsumptionTariffInterval"/&gt;&lt;/request&gt;&lt;response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73" s="1" t="str">
        <f>"&lt;method id="""&amp;Controls!G$1&amp;Controls!$B73&amp;""" name="""&amp;Controls!G$1&amp;""" wx:mode="""&amp;Controls!G73&amp;"""&gt;"&amp;IF(Controls!G73="E","&lt;response status=""400""/&gt;&lt;response status=""405""/&gt;","&lt;response&gt;&lt;representation mediaType=""application/xml"" element=""sep:"&amp;Controls!$V73&amp;"""/&gt;&lt;/response&gt;")&amp;"&lt;/method&gt;"</f>
        <v>&lt;method id="DELETEConsumptionTariffIntervalList" name="DELETE" wx:mode="E"&gt;&lt;response status="400"/&gt;&lt;response status="405"/&gt;&lt;/method&gt;</v>
      </c>
      <c r="G73" s="1" t="str">
        <f ca="1">IF(ISBLANK(Controls!B73),"",OFFSET(Var!B$11,Controls!O73,0)&amp;"&lt;/resource&gt;")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73" s="6" t="str">
        <f>IF(Controls!K73,"&lt;request&gt;&lt;param name=""s"" style=""query"" type=""xsd:int""&gt;&lt;doc&gt;start&lt;/doc&gt;&lt;/param&gt;"&amp;IF(Controls!L73,"&lt;param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74" spans="1:9" ht="45.75" customHeight="1">
      <c r="A74" s="1" t="str">
        <f>"&lt;resource id="""&amp;Controls!B74&amp;""" "&amp;IF(0,"path=""{"&amp;Controls!B74&amp;"Path}""","")&amp;" wx:samplePath="""&amp;Controls!C74&amp;"""&gt;&lt;doc title="""&amp;Controls!$B74&amp;"""&gt;"&amp;Controls!P74&amp;"&lt;/doc&gt;"</f>
        <v>&lt;resource id="ConsumptionTariffInterval"  wx:samplePath="/tp/{id1}/rc/{id2}/tti/{id3}/cti/{id4}"&gt;&lt;doc title="ConsumptionTariffInterval"&gt;Specific ConsumptionTariffInterval instance.&lt;/doc&gt;</v>
      </c>
      <c r="B74" s="1" t="str">
        <f>"&lt;method id="""&amp;Controls!D$1&amp;Controls!$B74&amp;""" name="""&amp;Controls!D$1&amp;""" wx:mode="""&amp;Controls!D74&amp;"""&gt;"&amp;IF(Controls!D74="E","&lt;response status=""400""/&gt;&lt;response status=""405""/&gt;",I74&amp;"&lt;response&gt;&lt;representation mediaType="""&amp;Var!$B$18&amp;""" element=""sep:"&amp;Controls!$W74&amp;"""/&gt;&lt;representation mediaType="""&amp;Var!$B$19&amp;""" element=""sep:"&amp;Controls!$W74&amp;"""/&gt;&lt;/response&gt;")&amp;"&lt;/method&gt;"</f>
        <v>&lt;method id="GETConsumptionTariffInterval" name="GET" wx:mode="M"&gt;&lt;response&gt;&lt;representation mediaType="application/sep+xml" element="sep:ConsumptionTariffInterval"/&gt;&lt;representation mediaType="application/sep-exi" element="sep:ConsumptionTariffInterval"/&gt;&lt;/response&gt;&lt;/method&gt;</v>
      </c>
      <c r="C74" s="1" t="str">
        <f>"&lt;method id=""HEAD"&amp;Controls!$B74&amp;""" name=""HEAD"" wx:mode="""&amp;Controls!D74&amp;"""/&gt;"</f>
        <v>&lt;method id="HEADConsumptionTariffInterval" name="HEAD" wx:mode="M"/&gt;</v>
      </c>
      <c r="D74" s="1" t="str">
        <f>"&lt;method id="""&amp;Controls!E$1&amp;Controls!$B74&amp;""" name="""&amp;Controls!E$1&amp;""" wx:mode="""&amp;Controls!E74&amp;"""&gt;&lt;request&gt;&lt;representation mediaType="""&amp;Var!$B$18&amp;""" element=""sep:"&amp;Controls!$V74&amp;"""/&gt;&lt;representation mediaType="""&amp;Var!$B$19&amp;""" element=""sep:"&amp;Controls!$V74&amp;"""/&gt;&lt;/request&gt;"&amp;IF(Controls!E74="E","&lt;response status=""400""/&gt;&lt;response status=""405""/&gt;","")&amp;"&lt;/method&gt;"</f>
        <v>&lt;method id="PUTConsumptionTariffInterval" name="PUT" wx:mode="E"&gt;&lt;request&gt;&lt;representation mediaType="application/sep+xml" element="sep:ConsumptionTariffInterval"/&gt;&lt;representation mediaType="application/sep-exi" element="sep:ConsumptionTariffInterval"/&gt;&lt;/request&gt;&lt;response status="400"/&gt;&lt;response status="405"/&gt;&lt;/method&gt;</v>
      </c>
      <c r="E74" s="1" t="str">
        <f>"&lt;method id="""&amp;Controls!F$1&amp;Controls!$B74&amp;""" name="""&amp;Controls!F$1&amp;""" wx:mode="""&amp;Controls!F74&amp;"""&gt;"&amp;IF(Controls!B74="MirrorUsagePoint",Var!$B$21,"&lt;request&gt;&lt;representation mediaType="""&amp;Var!$B$18&amp;""" element=""sep:"&amp;Controls!$V74&amp;"""/&gt;&lt;representation mediaType="""&amp;Var!$B$19&amp;""" element=""sep:"&amp;Controls!$V74&amp;"""/&gt;&lt;/request&gt;")&amp;IF(Controls!F74="E","&lt;response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id="POSTConsumptionTariffInterval" name="POST" wx:mode="E"&gt;&lt;request&gt;&lt;representation mediaType="application/sep+xml" element="sep:ConsumptionTariffInterval"/&gt;&lt;representation mediaType="application/sep-exi" element="sep:ConsumptionTariffInterval"/&gt;&lt;/request&gt;&lt;response status="400"/&gt;&lt;response status="405"/&gt;&lt;/method&gt;</v>
      </c>
      <c r="F74" s="1" t="str">
        <f>"&lt;method id="""&amp;Controls!G$1&amp;Controls!$B74&amp;""" name="""&amp;Controls!G$1&amp;""" wx:mode="""&amp;Controls!G74&amp;"""&gt;"&amp;IF(Controls!G74="E","&lt;response status=""400""/&gt;&lt;response status=""405""/&gt;","&lt;response&gt;&lt;representation mediaType=""application/xml"" element=""sep:"&amp;Controls!$V74&amp;"""/&gt;&lt;/response&gt;")&amp;"&lt;/method&gt;"</f>
        <v>&lt;method id="DELETEConsumptionTariffInterval" name="DELETE" wx:mode="D"&gt;&lt;response&gt;&lt;representation mediaType="application/xml" element="sep:ConsumptionTariffInterval"/&gt;&lt;/response&gt;&lt;/method&gt;</v>
      </c>
      <c r="G74" s="1" t="str">
        <f ca="1">IF(ISBLANK(Controls!B74),"",OFFSET(Var!B$11,Controls!O74,0)&amp;"&lt;/resource&gt;")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type="idType"/&gt;&lt;/resource&gt;</v>
      </c>
      <c r="I74" s="6" t="str">
        <f>IF(Controls!K74,"&lt;request&gt;&lt;param name=""s"" style=""query"" type=""xsd:int""&gt;&lt;doc&gt;start&lt;/doc&gt;&lt;/param&gt;"&amp;IF(Controls!L74,"&lt;param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75" spans="1:9" ht="49.5" customHeight="1">
      <c r="A75" s="1" t="str">
        <f>"&lt;resource id="""&amp;Controls!B75&amp;""" "&amp;IF(0,"path=""{"&amp;Controls!B75&amp;"Path}""","")&amp;" wx:samplePath="""&amp;Controls!C75&amp;"""&gt;&lt;doc title="""&amp;Controls!$B75&amp;"""&gt;"&amp;Controls!P75&amp;"&lt;/doc&gt;"</f>
        <v>&lt;resource id="MessagingProgramList"  wx:samplePath="/msg"&gt;&lt;doc title="MessagingProgramList"&gt;List of MessagingProgram instances or channels. Devices implementing the /msg resource MAY support multiple instances of  MessagingProgram&lt;/doc&gt;</v>
      </c>
      <c r="B75" s="1" t="str">
        <f>"&lt;method id="""&amp;Controls!D$1&amp;Controls!$B75&amp;""" name="""&amp;Controls!D$1&amp;""" wx:mode="""&amp;Controls!D75&amp;"""&gt;"&amp;IF(Controls!D75="E","&lt;response status=""400""/&gt;&lt;response status=""405""/&gt;",I75&amp;"&lt;response&gt;&lt;representation mediaType="""&amp;Var!$B$18&amp;""" element=""sep:"&amp;Controls!$W75&amp;"""/&gt;&lt;representation mediaType="""&amp;Var!$B$19&amp;""" element=""sep:"&amp;Controls!$W75&amp;"""/&gt;&lt;/response&gt;")&amp;"&lt;/method&gt;"</f>
        <v>&lt;method id="GETMessagingProgramList"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element="sep:MessagingProgramList"/&gt;&lt;representation mediaType="application/sep-exi" element="sep:MessagingProgramList"/&gt;&lt;/response&gt;&lt;/method&gt;</v>
      </c>
      <c r="C75" s="1" t="str">
        <f>"&lt;method id=""HEAD"&amp;Controls!$B75&amp;""" name=""HEAD"" wx:mode="""&amp;Controls!D75&amp;"""/&gt;"</f>
        <v>&lt;method id="HEADMessagingProgramList" name="HEAD" wx:mode="M"/&gt;</v>
      </c>
      <c r="D75" s="1" t="str">
        <f>"&lt;method id="""&amp;Controls!E$1&amp;Controls!$B75&amp;""" name="""&amp;Controls!E$1&amp;""" wx:mode="""&amp;Controls!E75&amp;"""&gt;&lt;request&gt;&lt;representation mediaType="""&amp;Var!$B$18&amp;""" element=""sep:"&amp;Controls!$V75&amp;"""/&gt;&lt;representation mediaType="""&amp;Var!$B$19&amp;""" element=""sep:"&amp;Controls!$V75&amp;"""/&gt;&lt;/request&gt;"&amp;IF(Controls!E75="E","&lt;response status=""400""/&gt;&lt;response status=""405""/&gt;","")&amp;"&lt;/method&gt;"</f>
        <v>&lt;method id="PUTMessagingProgramList" name="PUT" wx:mode="E"&gt;&lt;request&gt;&lt;representation mediaType="application/sep+xml" element="sep:MessagingProgram"/&gt;&lt;representation mediaType="application/sep-exi" element="sep:MessagingProgram"/&gt;&lt;/request&gt;&lt;response status="400"/&gt;&lt;response status="405"/&gt;&lt;/method&gt;</v>
      </c>
      <c r="E75" s="1" t="str">
        <f>"&lt;method id="""&amp;Controls!F$1&amp;Controls!$B75&amp;""" name="""&amp;Controls!F$1&amp;""" wx:mode="""&amp;Controls!F75&amp;"""&gt;"&amp;IF(Controls!B75="MirrorUsagePoint",Var!$B$21,"&lt;request&gt;&lt;representation mediaType="""&amp;Var!$B$18&amp;""" element=""sep:"&amp;Controls!$V75&amp;"""/&gt;&lt;representation mediaType="""&amp;Var!$B$19&amp;""" element=""sep:"&amp;Controls!$V75&amp;"""/&gt;&lt;/request&gt;")&amp;IF(Controls!F75="E","&lt;response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id="POSTMessagingProgramList" name="POST" wx:mode="D"&gt;&lt;request&gt;&lt;representation mediaType="application/sep+xml" element="sep:MessagingProgram"/&gt;&lt;representation mediaType="application/sep-exi" element="sep:MessagingProgram"/&gt;&lt;/request&gt;&lt;response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75" s="1" t="str">
        <f>"&lt;method id="""&amp;Controls!G$1&amp;Controls!$B75&amp;""" name="""&amp;Controls!G$1&amp;""" wx:mode="""&amp;Controls!G75&amp;"""&gt;"&amp;IF(Controls!G75="E","&lt;response status=""400""/&gt;&lt;response status=""405""/&gt;","&lt;response&gt;&lt;representation mediaType=""application/xml"" element=""sep:"&amp;Controls!$V75&amp;"""/&gt;&lt;/response&gt;")&amp;"&lt;/method&gt;"</f>
        <v>&lt;method id="DELETEMessagingProgramList" name="DELETE" wx:mode="E"&gt;&lt;response status="400"/&gt;&lt;response status="405"/&gt;&lt;/method&gt;</v>
      </c>
      <c r="G75" s="1" t="str">
        <f ca="1">IF(ISBLANK(Controls!B75),"",OFFSET(Var!B$11,Controls!O75,0)&amp;"&lt;/resource&gt;")</f>
        <v>&lt;/resource&gt;</v>
      </c>
      <c r="I75" s="6" t="str">
        <f>IF(Controls!K75,"&lt;request&gt;&lt;param name=""s"" style=""query"" type=""xsd:int""&gt;&lt;doc&gt;start&lt;/doc&gt;&lt;/param&gt;"&amp;IF(Controls!L75,"&lt;param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76" spans="1:9" ht="49.5" customHeight="1">
      <c r="A76" s="1" t="str">
        <f>"&lt;resource id="""&amp;Controls!B76&amp;""" "&amp;IF(0,"path=""{"&amp;Controls!B76&amp;"Path}""","")&amp;" wx:samplePath="""&amp;Controls!C76&amp;"""&gt;&lt;doc title="""&amp;Controls!$B76&amp;"""&gt;"&amp;Controls!P76&amp;"&lt;/doc&gt;"</f>
        <v>&lt;resource id="MessagingProgram"  wx:samplePath="/msg/{id1}"&gt;&lt;doc title="MessagingProgram"&gt;Specific MessagingProgram instance. This resource can be thought of as a particular  TextMessageList  or channel.&lt;/doc&gt;</v>
      </c>
      <c r="B76" s="1" t="str">
        <f>"&lt;method id="""&amp;Controls!D$1&amp;Controls!$B76&amp;""" name="""&amp;Controls!D$1&amp;""" wx:mode="""&amp;Controls!D76&amp;"""&gt;"&amp;IF(Controls!D76="E","&lt;response status=""400""/&gt;&lt;response status=""405""/&gt;",I76&amp;"&lt;response&gt;&lt;representation mediaType="""&amp;Var!$B$18&amp;""" element=""sep:"&amp;Controls!$W76&amp;"""/&gt;&lt;representation mediaType="""&amp;Var!$B$19&amp;""" element=""sep:"&amp;Controls!$W76&amp;"""/&gt;&lt;/response&gt;")&amp;"&lt;/method&gt;"</f>
        <v>&lt;method id="GETMessagingProgram" name="GET" wx:mode="M"&gt;&lt;response&gt;&lt;representation mediaType="application/sep+xml" element="sep:MessagingProgram"/&gt;&lt;representation mediaType="application/sep-exi" element="sep:MessagingProgram"/&gt;&lt;/response&gt;&lt;/method&gt;</v>
      </c>
      <c r="C76" s="1" t="str">
        <f>"&lt;method id=""HEAD"&amp;Controls!$B76&amp;""" name=""HEAD"" wx:mode="""&amp;Controls!D76&amp;"""/&gt;"</f>
        <v>&lt;method id="HEADMessagingProgram" name="HEAD" wx:mode="M"/&gt;</v>
      </c>
      <c r="D76" s="1" t="str">
        <f>"&lt;method id="""&amp;Controls!E$1&amp;Controls!$B76&amp;""" name="""&amp;Controls!E$1&amp;""" wx:mode="""&amp;Controls!E76&amp;"""&gt;&lt;request&gt;&lt;representation mediaType="""&amp;Var!$B$18&amp;""" element=""sep:"&amp;Controls!$V76&amp;"""/&gt;&lt;representation mediaType="""&amp;Var!$B$19&amp;""" element=""sep:"&amp;Controls!$V76&amp;"""/&gt;&lt;/request&gt;"&amp;IF(Controls!E76="E","&lt;response status=""400""/&gt;&lt;response status=""405""/&gt;","")&amp;"&lt;/method&gt;"</f>
        <v>&lt;method id="PUTMessagingProgram" name="PUT" wx:mode="E"&gt;&lt;request&gt;&lt;representation mediaType="application/sep+xml" element="sep:MessagingProgram"/&gt;&lt;representation mediaType="application/sep-exi" element="sep:MessagingProgram"/&gt;&lt;/request&gt;&lt;response status="400"/&gt;&lt;response status="405"/&gt;&lt;/method&gt;</v>
      </c>
      <c r="E76" s="1" t="str">
        <f>"&lt;method id="""&amp;Controls!F$1&amp;Controls!$B76&amp;""" name="""&amp;Controls!F$1&amp;""" wx:mode="""&amp;Controls!F76&amp;"""&gt;"&amp;IF(Controls!B76="MirrorUsagePoint",Var!$B$21,"&lt;request&gt;&lt;representation mediaType="""&amp;Var!$B$18&amp;""" element=""sep:"&amp;Controls!$V76&amp;"""/&gt;&lt;representation mediaType="""&amp;Var!$B$19&amp;""" element=""sep:"&amp;Controls!$V76&amp;"""/&gt;&lt;/request&gt;")&amp;IF(Controls!F76="E","&lt;response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id="POSTMessagingProgram" name="POST" wx:mode="E"&gt;&lt;request&gt;&lt;representation mediaType="application/sep+xml" element="sep:MessagingProgram"/&gt;&lt;representation mediaType="application/sep-exi" element="sep:MessagingProgram"/&gt;&lt;/request&gt;&lt;response status="400"/&gt;&lt;response status="405"/&gt;&lt;/method&gt;</v>
      </c>
      <c r="F76" s="1" t="str">
        <f>"&lt;method id="""&amp;Controls!G$1&amp;Controls!$B76&amp;""" name="""&amp;Controls!G$1&amp;""" wx:mode="""&amp;Controls!G76&amp;"""&gt;"&amp;IF(Controls!G76="E","&lt;response status=""400""/&gt;&lt;response status=""405""/&gt;","&lt;response&gt;&lt;representation mediaType=""application/xml"" element=""sep:"&amp;Controls!$V76&amp;"""/&gt;&lt;/response&gt;")&amp;"&lt;/method&gt;"</f>
        <v>&lt;method id="DELETEMessagingProgram" name="DELETE" wx:mode="D"&gt;&lt;response&gt;&lt;representation mediaType="application/xml" element="sep:MessagingProgram"/&gt;&lt;/response&gt;&lt;/method&gt;</v>
      </c>
      <c r="G76" s="1" t="str">
        <f ca="1">IF(ISBLANK(Controls!B76),"",OFFSET(Var!B$11,Controls!O76,0)&amp;"&lt;/resource&gt;")</f>
        <v>&lt;wx:sampleParam name="id1" style="template" type="idType"/&gt;&lt;/resource&gt;</v>
      </c>
      <c r="I76" s="6" t="str">
        <f>IF(Controls!K76,"&lt;request&gt;&lt;param name=""s"" style=""query"" type=""xsd:int""&gt;&lt;doc&gt;start&lt;/doc&gt;&lt;/param&gt;"&amp;IF(Controls!L76,"&lt;param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77" spans="1:9" ht="49.5" customHeight="1">
      <c r="A77" s="1" t="str">
        <f>"&lt;resource id="""&amp;Controls!B77&amp;""" "&amp;IF(0,"path=""{"&amp;Controls!B77&amp;"Path}""","")&amp;" wx:samplePath="""&amp;Controls!C77&amp;"""&gt;&lt;doc title="""&amp;Controls!$B77&amp;"""&gt;"&amp;Controls!P77&amp;"&lt;/doc&gt;"</f>
        <v>&lt;resource id="ActiveTextMessageList"  wx:samplePath="/msg/{id1}/acttxt"&gt;&lt;doc title="ActiveTextMessageList"&gt;List of Messages that are currently active.&lt;/doc&gt;</v>
      </c>
      <c r="B77" s="1" t="str">
        <f>"&lt;method id="""&amp;Controls!D$1&amp;Controls!$B77&amp;""" name="""&amp;Controls!D$1&amp;""" wx:mode="""&amp;Controls!D77&amp;"""&gt;"&amp;IF(Controls!D77="E","&lt;response status=""400""/&gt;&lt;response status=""405""/&gt;",I77&amp;"&lt;response&gt;&lt;representation mediaType="""&amp;Var!$B$18&amp;""" element=""sep:"&amp;Controls!$W77&amp;"""/&gt;&lt;representation mediaType="""&amp;Var!$B$19&amp;""" element=""sep:"&amp;Controls!$W77&amp;"""/&gt;&lt;/response&gt;")&amp;"&lt;/method&gt;"</f>
        <v>&lt;method id="GETActiveTextMessageList"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element="sep:TextMessageList"/&gt;&lt;representation mediaType="application/sep-exi" element="sep:TextMessageList"/&gt;&lt;/response&gt;&lt;/method&gt;</v>
      </c>
      <c r="C77" s="1" t="str">
        <f>"&lt;method id=""HEAD"&amp;Controls!$B77&amp;""" name=""HEAD"" wx:mode="""&amp;Controls!D77&amp;"""/&gt;"</f>
        <v>&lt;method id="HEADActiveTextMessageList" name="HEAD" wx:mode="M"/&gt;</v>
      </c>
      <c r="D77" s="1" t="str">
        <f>"&lt;method id="""&amp;Controls!E$1&amp;Controls!$B77&amp;""" name="""&amp;Controls!E$1&amp;""" wx:mode="""&amp;Controls!E77&amp;"""&gt;&lt;request&gt;&lt;representation mediaType="""&amp;Var!$B$18&amp;""" element=""sep:"&amp;Controls!$V77&amp;"""/&gt;&lt;representation mediaType="""&amp;Var!$B$19&amp;""" element=""sep:"&amp;Controls!$V77&amp;"""/&gt;&lt;/request&gt;"&amp;IF(Controls!E77="E","&lt;response status=""400""/&gt;&lt;response status=""405""/&gt;","")&amp;"&lt;/method&gt;"</f>
        <v>&lt;method id="PUTActiveTextMessageList" name="PUT" wx:mode="E"&gt;&lt;request&gt;&lt;representation mediaType="application/sep+xml" element="sep:TextMessage"/&gt;&lt;representation mediaType="application/sep-exi" element="sep:TextMessage"/&gt;&lt;/request&gt;&lt;response status="400"/&gt;&lt;response status="405"/&gt;&lt;/method&gt;</v>
      </c>
      <c r="E77" s="1" t="str">
        <f>"&lt;method id="""&amp;Controls!F$1&amp;Controls!$B77&amp;""" name="""&amp;Controls!F$1&amp;""" wx:mode="""&amp;Controls!F77&amp;"""&gt;"&amp;IF(Controls!B77="MirrorUsagePoint",Var!$B$21,"&lt;request&gt;&lt;representation mediaType="""&amp;Var!$B$18&amp;""" element=""sep:"&amp;Controls!$V77&amp;"""/&gt;&lt;representation mediaType="""&amp;Var!$B$19&amp;""" element=""sep:"&amp;Controls!$V77&amp;"""/&gt;&lt;/request&gt;")&amp;IF(Controls!F77="E","&lt;response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id="POSTActiveTextMessageList" name="POST" wx:mode="E"&gt;&lt;request&gt;&lt;representation mediaType="application/sep+xml" element="sep:TextMessage"/&gt;&lt;representation mediaType="application/sep-exi" element="sep:TextMessage"/&gt;&lt;/request&gt;&lt;response status="400"/&gt;&lt;response status="405"/&gt;&lt;/method&gt;</v>
      </c>
      <c r="F77" s="1" t="str">
        <f>"&lt;method id="""&amp;Controls!G$1&amp;Controls!$B77&amp;""" name="""&amp;Controls!G$1&amp;""" wx:mode="""&amp;Controls!G77&amp;"""&gt;"&amp;IF(Controls!G77="E","&lt;response status=""400""/&gt;&lt;response status=""405""/&gt;","&lt;response&gt;&lt;representation mediaType=""application/xml"" element=""sep:"&amp;Controls!$V77&amp;"""/&gt;&lt;/response&gt;")&amp;"&lt;/method&gt;"</f>
        <v>&lt;method id="DELETEActiveTextMessageList" name="DELETE" wx:mode="E"&gt;&lt;response status="400"/&gt;&lt;response status="405"/&gt;&lt;/method&gt;</v>
      </c>
      <c r="G77" s="1" t="str">
        <f ca="1">IF(ISBLANK(Controls!B77),"",OFFSET(Var!B$11,Controls!O77,0)&amp;"&lt;/resource&gt;")</f>
        <v>&lt;wx:sampleParam name="id1" style="template" type="idType"/&gt;&lt;/resource&gt;</v>
      </c>
      <c r="I77" s="6" t="str">
        <f>IF(Controls!K77,"&lt;request&gt;&lt;param name=""s"" style=""query"" type=""xsd:int""&gt;&lt;doc&gt;start&lt;/doc&gt;&lt;/param&gt;"&amp;IF(Controls!L77,"&lt;param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78" spans="1:9" ht="49.5" customHeight="1">
      <c r="A78" s="1" t="str">
        <f>"&lt;resource id="""&amp;Controls!B78&amp;""" "&amp;IF(0,"path=""{"&amp;Controls!B78&amp;"Path}""","")&amp;" wx:samplePath="""&amp;Controls!C78&amp;"""&gt;&lt;doc title="""&amp;Controls!$B78&amp;"""&gt;"&amp;Controls!P78&amp;"&lt;/doc&gt;"</f>
        <v>&lt;resource id="TextMessageList"  wx:samplePath="/msg/{id1}/txt"&gt;&lt;doc title="TextMessageList"&gt;A list of TextMessages.&lt;/doc&gt;</v>
      </c>
      <c r="B78" s="1" t="str">
        <f>"&lt;method id="""&amp;Controls!D$1&amp;Controls!$B78&amp;""" name="""&amp;Controls!D$1&amp;""" wx:mode="""&amp;Controls!D78&amp;"""&gt;"&amp;IF(Controls!D78="E","&lt;response status=""400""/&gt;&lt;response status=""405""/&gt;",I78&amp;"&lt;response&gt;&lt;representation mediaType="""&amp;Var!$B$18&amp;""" element=""sep:"&amp;Controls!$W78&amp;"""/&gt;&lt;representation mediaType="""&amp;Var!$B$19&amp;""" element=""sep:"&amp;Controls!$W78&amp;"""/&gt;&lt;/response&gt;")&amp;"&lt;/method&gt;"</f>
        <v>&lt;method id="GETTextMessageList"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element="sep:TextMessageList"/&gt;&lt;representation mediaType="application/sep-exi" element="sep:TextMessageList"/&gt;&lt;/response&gt;&lt;/method&gt;</v>
      </c>
      <c r="C78" s="1" t="str">
        <f>"&lt;method id=""HEAD"&amp;Controls!$B78&amp;""" name=""HEAD"" wx:mode="""&amp;Controls!D78&amp;"""/&gt;"</f>
        <v>&lt;method id="HEADTextMessageList" name="HEAD" wx:mode="M"/&gt;</v>
      </c>
      <c r="D78" s="1" t="str">
        <f>"&lt;method id="""&amp;Controls!E$1&amp;Controls!$B78&amp;""" name="""&amp;Controls!E$1&amp;""" wx:mode="""&amp;Controls!E78&amp;"""&gt;&lt;request&gt;&lt;representation mediaType="""&amp;Var!$B$18&amp;""" element=""sep:"&amp;Controls!$V78&amp;"""/&gt;&lt;representation mediaType="""&amp;Var!$B$19&amp;""" element=""sep:"&amp;Controls!$V78&amp;"""/&gt;&lt;/request&gt;"&amp;IF(Controls!E78="E","&lt;response status=""400""/&gt;&lt;response status=""405""/&gt;","")&amp;"&lt;/method&gt;"</f>
        <v>&lt;method id="PUTTextMessageList" name="PUT" wx:mode="E"&gt;&lt;request&gt;&lt;representation mediaType="application/sep+xml" element="sep:TextMessage"/&gt;&lt;representation mediaType="application/sep-exi" element="sep:TextMessage"/&gt;&lt;/request&gt;&lt;response status="400"/&gt;&lt;response status="405"/&gt;&lt;/method&gt;</v>
      </c>
      <c r="E78" s="1" t="str">
        <f>"&lt;method id="""&amp;Controls!F$1&amp;Controls!$B78&amp;""" name="""&amp;Controls!F$1&amp;""" wx:mode="""&amp;Controls!F78&amp;"""&gt;"&amp;IF(Controls!B78="MirrorUsagePoint",Var!$B$21,"&lt;request&gt;&lt;representation mediaType="""&amp;Var!$B$18&amp;""" element=""sep:"&amp;Controls!$V78&amp;"""/&gt;&lt;representation mediaType="""&amp;Var!$B$19&amp;""" element=""sep:"&amp;Controls!$V78&amp;"""/&gt;&lt;/request&gt;")&amp;IF(Controls!F78="E","&lt;response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id="POSTTextMessageList" name="POST" wx:mode="D"&gt;&lt;request&gt;&lt;representation mediaType="application/sep+xml" element="sep:TextMessage"/&gt;&lt;representation mediaType="application/sep-exi" element="sep:TextMessage"/&gt;&lt;/request&gt;&lt;response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78" s="1" t="str">
        <f>"&lt;method id="""&amp;Controls!G$1&amp;Controls!$B78&amp;""" name="""&amp;Controls!G$1&amp;""" wx:mode="""&amp;Controls!G78&amp;"""&gt;"&amp;IF(Controls!G78="E","&lt;response status=""400""/&gt;&lt;response status=""405""/&gt;","&lt;response&gt;&lt;representation mediaType=""application/xml"" element=""sep:"&amp;Controls!$V78&amp;"""/&gt;&lt;/response&gt;")&amp;"&lt;/method&gt;"</f>
        <v>&lt;method id="DELETETextMessageList" name="DELETE" wx:mode="E"&gt;&lt;response status="400"/&gt;&lt;response status="405"/&gt;&lt;/method&gt;</v>
      </c>
      <c r="G78" s="1" t="str">
        <f ca="1">IF(ISBLANK(Controls!B78),"",OFFSET(Var!B$11,Controls!O78,0)&amp;"&lt;/resource&gt;")</f>
        <v>&lt;wx:sampleParam name="id1" style="template" type="idType"/&gt;&lt;/resource&gt;</v>
      </c>
      <c r="I78" s="6" t="str">
        <f>IF(Controls!K78,"&lt;request&gt;&lt;param name=""s"" style=""query"" type=""xsd:int""&gt;&lt;doc&gt;start&lt;/doc&gt;&lt;/param&gt;"&amp;IF(Controls!L78,"&lt;param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79" spans="1:9" ht="49.5" customHeight="1">
      <c r="A79" s="1" t="str">
        <f>"&lt;resource id="""&amp;Controls!B79&amp;""" "&amp;IF(0,"path=""{"&amp;Controls!B79&amp;"Path}""","")&amp;" wx:samplePath="""&amp;Controls!C79&amp;"""&gt;&lt;doc title="""&amp;Controls!$B79&amp;"""&gt;"&amp;Controls!P79&amp;"&lt;/doc&gt;"</f>
        <v>&lt;resource id="TextMessage"  wx:samplePath="/msg/{id1}/txt/{id2}"&gt;&lt;doc title="TextMessage"&gt;An individual TextMessage.&lt;/doc&gt;</v>
      </c>
      <c r="B79" s="1" t="str">
        <f>"&lt;method id="""&amp;Controls!D$1&amp;Controls!$B79&amp;""" name="""&amp;Controls!D$1&amp;""" wx:mode="""&amp;Controls!D79&amp;"""&gt;"&amp;IF(Controls!D79="E","&lt;response status=""400""/&gt;&lt;response status=""405""/&gt;",I79&amp;"&lt;response&gt;&lt;representation mediaType="""&amp;Var!$B$18&amp;""" element=""sep:"&amp;Controls!$W79&amp;"""/&gt;&lt;representation mediaType="""&amp;Var!$B$19&amp;""" element=""sep:"&amp;Controls!$W79&amp;"""/&gt;&lt;/response&gt;")&amp;"&lt;/method&gt;"</f>
        <v>&lt;method id="GETTextMessage" name="GET" wx:mode="M"&gt;&lt;response&gt;&lt;representation mediaType="application/sep+xml" element="sep:TextMessage"/&gt;&lt;representation mediaType="application/sep-exi" element="sep:TextMessage"/&gt;&lt;/response&gt;&lt;/method&gt;</v>
      </c>
      <c r="C79" s="1" t="str">
        <f>"&lt;method id=""HEAD"&amp;Controls!$B79&amp;""" name=""HEAD"" wx:mode="""&amp;Controls!D79&amp;"""/&gt;"</f>
        <v>&lt;method id="HEADTextMessage" name="HEAD" wx:mode="M"/&gt;</v>
      </c>
      <c r="D79" s="1" t="str">
        <f>"&lt;method id="""&amp;Controls!E$1&amp;Controls!$B79&amp;""" name="""&amp;Controls!E$1&amp;""" wx:mode="""&amp;Controls!E79&amp;"""&gt;&lt;request&gt;&lt;representation mediaType="""&amp;Var!$B$18&amp;""" element=""sep:"&amp;Controls!$V79&amp;"""/&gt;&lt;representation mediaType="""&amp;Var!$B$19&amp;""" element=""sep:"&amp;Controls!$V79&amp;"""/&gt;&lt;/request&gt;"&amp;IF(Controls!E79="E","&lt;response status=""400""/&gt;&lt;response status=""405""/&gt;","")&amp;"&lt;/method&gt;"</f>
        <v>&lt;method id="PUTTextMessage" name="PUT" wx:mode="E"&gt;&lt;request&gt;&lt;representation mediaType="application/sep+xml" element="sep:TextMessage"/&gt;&lt;representation mediaType="application/sep-exi" element="sep:TextMessage"/&gt;&lt;/request&gt;&lt;response status="400"/&gt;&lt;response status="405"/&gt;&lt;/method&gt;</v>
      </c>
      <c r="E79" s="1" t="str">
        <f>"&lt;method id="""&amp;Controls!F$1&amp;Controls!$B79&amp;""" name="""&amp;Controls!F$1&amp;""" wx:mode="""&amp;Controls!F79&amp;"""&gt;"&amp;IF(Controls!B79="MirrorUsagePoint",Var!$B$21,"&lt;request&gt;&lt;representation mediaType="""&amp;Var!$B$18&amp;""" element=""sep:"&amp;Controls!$V79&amp;"""/&gt;&lt;representation mediaType="""&amp;Var!$B$19&amp;""" element=""sep:"&amp;Controls!$V79&amp;"""/&gt;&lt;/request&gt;")&amp;IF(Controls!F79="E","&lt;response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id="POSTTextMessage" name="POST" wx:mode="E"&gt;&lt;request&gt;&lt;representation mediaType="application/sep+xml" element="sep:TextMessage"/&gt;&lt;representation mediaType="application/sep-exi" element="sep:TextMessage"/&gt;&lt;/request&gt;&lt;response status="400"/&gt;&lt;response status="405"/&gt;&lt;/method&gt;</v>
      </c>
      <c r="F79" s="1" t="str">
        <f>"&lt;method id="""&amp;Controls!G$1&amp;Controls!$B79&amp;""" name="""&amp;Controls!G$1&amp;""" wx:mode="""&amp;Controls!G79&amp;"""&gt;"&amp;IF(Controls!G79="E","&lt;response status=""400""/&gt;&lt;response status=""405""/&gt;","&lt;response&gt;&lt;representation mediaType=""application/xml"" element=""sep:"&amp;Controls!$V79&amp;"""/&gt;&lt;/response&gt;")&amp;"&lt;/method&gt;"</f>
        <v>&lt;method id="DELETETextMessage" name="DELETE" wx:mode="D"&gt;&lt;response&gt;&lt;representation mediaType="application/xml" element="sep:TextMessage"/&gt;&lt;/response&gt;&lt;/method&gt;</v>
      </c>
      <c r="G79" s="1" t="str">
        <f ca="1">IF(ISBLANK(Controls!B79),"",OFFSET(Var!B$11,Controls!O79,0)&amp;"&lt;/resource&gt;")</f>
        <v>&lt;wx:sampleParam name="id1" style="template" type="idType"/&gt;&lt;wx:sampleParam name="id2" style="template" type="idType"/&gt;&lt;/resource&gt;</v>
      </c>
      <c r="I79" s="6" t="str">
        <f>IF(Controls!K79,"&lt;request&gt;&lt;param name=""s"" style=""query"" type=""xsd:int""&gt;&lt;doc&gt;start&lt;/doc&gt;&lt;/param&gt;"&amp;IF(Controls!L79,"&lt;param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80" spans="1:9" ht="49.5" customHeight="1">
      <c r="A80" s="1" t="str">
        <f>"&lt;resource id="""&amp;Controls!B80&amp;""" "&amp;IF(0,"path=""{"&amp;Controls!B80&amp;"Path}""","")&amp;" wx:samplePath="""&amp;Controls!C80&amp;"""&gt;&lt;doc title="""&amp;Controls!$B80&amp;"""&gt;"&amp;Controls!P80&amp;"&lt;/doc&gt;"</f>
        <v>&lt;resource id="CustomerAccountList"  wx:samplePath="/bill"&gt;&lt;doc title="CustomerAccountList"&gt;A List of customer accounts&lt;/doc&gt;</v>
      </c>
      <c r="B80" s="1" t="str">
        <f>"&lt;method id="""&amp;Controls!D$1&amp;Controls!$B80&amp;""" name="""&amp;Controls!D$1&amp;""" wx:mode="""&amp;Controls!D80&amp;"""&gt;"&amp;IF(Controls!D80="E","&lt;response status=""400""/&gt;&lt;response status=""405""/&gt;",I80&amp;"&lt;response&gt;&lt;representation mediaType="""&amp;Var!$B$18&amp;""" element=""sep:"&amp;Controls!$W80&amp;"""/&gt;&lt;representation mediaType="""&amp;Var!$B$19&amp;""" element=""sep:"&amp;Controls!$W80&amp;"""/&gt;&lt;/response&gt;")&amp;"&lt;/method&gt;"</f>
        <v>&lt;method id="GETCustomerAccountList"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element="sep:CustomerAccountList"/&gt;&lt;representation mediaType="application/sep-exi" element="sep:CustomerAccountList"/&gt;&lt;/response&gt;&lt;/method&gt;</v>
      </c>
      <c r="C80" s="1" t="str">
        <f>"&lt;method id=""HEAD"&amp;Controls!$B80&amp;""" name=""HEAD"" wx:mode="""&amp;Controls!D80&amp;"""/&gt;"</f>
        <v>&lt;method id="HEADCustomerAccountList" name="HEAD" wx:mode="M"/&gt;</v>
      </c>
      <c r="D80" s="1" t="str">
        <f>"&lt;method id="""&amp;Controls!E$1&amp;Controls!$B80&amp;""" name="""&amp;Controls!E$1&amp;""" wx:mode="""&amp;Controls!E80&amp;"""&gt;&lt;request&gt;&lt;representation mediaType="""&amp;Var!$B$18&amp;""" element=""sep:"&amp;Controls!$V80&amp;"""/&gt;&lt;representation mediaType="""&amp;Var!$B$19&amp;""" element=""sep:"&amp;Controls!$V80&amp;"""/&gt;&lt;/request&gt;"&amp;IF(Controls!E80="E","&lt;response status=""400""/&gt;&lt;response status=""405""/&gt;","")&amp;"&lt;/method&gt;"</f>
        <v>&lt;method id="PUTCustomerAccountList" name="PUT" wx:mode="E"&gt;&lt;request&gt;&lt;representation mediaType="application/sep+xml" element="sep:CustomerAccount"/&gt;&lt;representation mediaType="application/sep-exi" element="sep:CustomerAccount"/&gt;&lt;/request&gt;&lt;response status="400"/&gt;&lt;response status="405"/&gt;&lt;/method&gt;</v>
      </c>
      <c r="E80" s="1" t="str">
        <f>"&lt;method id="""&amp;Controls!F$1&amp;Controls!$B80&amp;""" name="""&amp;Controls!F$1&amp;""" wx:mode="""&amp;Controls!F80&amp;"""&gt;"&amp;IF(Controls!B80="MirrorUsagePoint",Var!$B$21,"&lt;request&gt;&lt;representation mediaType="""&amp;Var!$B$18&amp;""" element=""sep:"&amp;Controls!$V80&amp;"""/&gt;&lt;representation mediaType="""&amp;Var!$B$19&amp;""" element=""sep:"&amp;Controls!$V80&amp;"""/&gt;&lt;/request&gt;")&amp;IF(Controls!F80="E","&lt;response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id="POSTCustomerAccountList" name="POST" wx:mode="D"&gt;&lt;request&gt;&lt;representation mediaType="application/sep+xml" element="sep:CustomerAccount"/&gt;&lt;representation mediaType="application/sep-exi" element="sep:CustomerAccount"/&gt;&lt;/request&gt;&lt;response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80" s="1" t="str">
        <f>"&lt;method id="""&amp;Controls!G$1&amp;Controls!$B80&amp;""" name="""&amp;Controls!G$1&amp;""" wx:mode="""&amp;Controls!G80&amp;"""&gt;"&amp;IF(Controls!G80="E","&lt;response status=""400""/&gt;&lt;response status=""405""/&gt;","&lt;response&gt;&lt;representation mediaType=""application/xml"" element=""sep:"&amp;Controls!$V80&amp;"""/&gt;&lt;/response&gt;")&amp;"&lt;/method&gt;"</f>
        <v>&lt;method id="DELETECustomerAccountList" name="DELETE" wx:mode="E"&gt;&lt;response status="400"/&gt;&lt;response status="405"/&gt;&lt;/method&gt;</v>
      </c>
      <c r="G80" s="1" t="str">
        <f ca="1">IF(ISBLANK(Controls!B80),"",OFFSET(Var!B$11,Controls!O80,0)&amp;"&lt;/resource&gt;")</f>
        <v>&lt;/resource&gt;</v>
      </c>
      <c r="I80" s="6" t="str">
        <f>IF(Controls!K80,"&lt;request&gt;&lt;param name=""s"" style=""query"" type=""xsd:int""&gt;&lt;doc&gt;start&lt;/doc&gt;&lt;/param&gt;"&amp;IF(Controls!L80,"&lt;param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81" spans="1:9" ht="49.5" customHeight="1">
      <c r="A81" s="1" t="str">
        <f>"&lt;resource id="""&amp;Controls!B81&amp;""" "&amp;IF(0,"path=""{"&amp;Controls!B81&amp;"Path}""","")&amp;" wx:samplePath="""&amp;Controls!C81&amp;"""&gt;&lt;doc title="""&amp;Controls!$B81&amp;"""&gt;"&amp;Controls!P81&amp;"&lt;/doc&gt;"</f>
        <v>&lt;resource id="CustomerAccount"  wx:samplePath="/bill/{id1}"&gt;&lt;doc title="CustomerAccount"&gt;Customer account information&lt;/doc&gt;</v>
      </c>
      <c r="B81" s="1" t="str">
        <f>"&lt;method id="""&amp;Controls!D$1&amp;Controls!$B81&amp;""" name="""&amp;Controls!D$1&amp;""" wx:mode="""&amp;Controls!D81&amp;"""&gt;"&amp;IF(Controls!D81="E","&lt;response status=""400""/&gt;&lt;response status=""405""/&gt;",I81&amp;"&lt;response&gt;&lt;representation mediaType="""&amp;Var!$B$18&amp;""" element=""sep:"&amp;Controls!$W81&amp;"""/&gt;&lt;representation mediaType="""&amp;Var!$B$19&amp;""" element=""sep:"&amp;Controls!$W81&amp;"""/&gt;&lt;/response&gt;")&amp;"&lt;/method&gt;"</f>
        <v>&lt;method id="GETCustomerAccount" name="GET" wx:mode="M"&gt;&lt;response&gt;&lt;representation mediaType="application/sep+xml" element="sep:CustomerAccount"/&gt;&lt;representation mediaType="application/sep-exi" element="sep:CustomerAccount"/&gt;&lt;/response&gt;&lt;/method&gt;</v>
      </c>
      <c r="C81" s="1" t="str">
        <f>"&lt;method id=""HEAD"&amp;Controls!$B81&amp;""" name=""HEAD"" wx:mode="""&amp;Controls!D81&amp;"""/&gt;"</f>
        <v>&lt;method id="HEADCustomerAccount" name="HEAD" wx:mode="M"/&gt;</v>
      </c>
      <c r="D81" s="1" t="str">
        <f>"&lt;method id="""&amp;Controls!E$1&amp;Controls!$B81&amp;""" name="""&amp;Controls!E$1&amp;""" wx:mode="""&amp;Controls!E81&amp;"""&gt;&lt;request&gt;&lt;representation mediaType="""&amp;Var!$B$18&amp;""" element=""sep:"&amp;Controls!$V81&amp;"""/&gt;&lt;representation mediaType="""&amp;Var!$B$19&amp;""" element=""sep:"&amp;Controls!$V81&amp;"""/&gt;&lt;/request&gt;"&amp;IF(Controls!E81="E","&lt;response status=""400""/&gt;&lt;response status=""405""/&gt;","")&amp;"&lt;/method&gt;"</f>
        <v>&lt;method id="PUTCustomerAccount" name="PUT" wx:mode="E"&gt;&lt;request&gt;&lt;representation mediaType="application/sep+xml" element="sep:CustomerAccount"/&gt;&lt;representation mediaType="application/sep-exi" element="sep:CustomerAccount"/&gt;&lt;/request&gt;&lt;response status="400"/&gt;&lt;response status="405"/&gt;&lt;/method&gt;</v>
      </c>
      <c r="E81" s="1" t="str">
        <f>"&lt;method id="""&amp;Controls!F$1&amp;Controls!$B81&amp;""" name="""&amp;Controls!F$1&amp;""" wx:mode="""&amp;Controls!F81&amp;"""&gt;"&amp;IF(Controls!B81="MirrorUsagePoint",Var!$B$21,"&lt;request&gt;&lt;representation mediaType="""&amp;Var!$B$18&amp;""" element=""sep:"&amp;Controls!$V81&amp;"""/&gt;&lt;representation mediaType="""&amp;Var!$B$19&amp;""" element=""sep:"&amp;Controls!$V81&amp;"""/&gt;&lt;/request&gt;")&amp;IF(Controls!F81="E","&lt;response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id="POSTCustomerAccount" name="POST" wx:mode="E"&gt;&lt;request&gt;&lt;representation mediaType="application/sep+xml" element="sep:CustomerAccount"/&gt;&lt;representation mediaType="application/sep-exi" element="sep:CustomerAccount"/&gt;&lt;/request&gt;&lt;response status="400"/&gt;&lt;response status="405"/&gt;&lt;/method&gt;</v>
      </c>
      <c r="F81" s="1" t="str">
        <f>"&lt;method id="""&amp;Controls!G$1&amp;Controls!$B81&amp;""" name="""&amp;Controls!G$1&amp;""" wx:mode="""&amp;Controls!G81&amp;"""&gt;"&amp;IF(Controls!G81="E","&lt;response status=""400""/&gt;&lt;response status=""405""/&gt;","&lt;response&gt;&lt;representation mediaType=""application/xml"" element=""sep:"&amp;Controls!$V81&amp;"""/&gt;&lt;/response&gt;")&amp;"&lt;/method&gt;"</f>
        <v>&lt;method id="DELETECustomerAccount" name="DELETE" wx:mode="D"&gt;&lt;response&gt;&lt;representation mediaType="application/xml" element="sep:CustomerAccount"/&gt;&lt;/response&gt;&lt;/method&gt;</v>
      </c>
      <c r="G81" s="1" t="str">
        <f ca="1">IF(ISBLANK(Controls!B81),"",OFFSET(Var!B$11,Controls!O81,0)&amp;"&lt;/resource&gt;")</f>
        <v>&lt;wx:sampleParam name="id1" style="template" type="idType"/&gt;&lt;/resource&gt;</v>
      </c>
      <c r="I81" s="6" t="str">
        <f>IF(Controls!K81,"&lt;request&gt;&lt;param name=""s"" style=""query"" type=""xsd:int""&gt;&lt;doc&gt;start&lt;/doc&gt;&lt;/param&gt;"&amp;IF(Controls!L81,"&lt;param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82" spans="1:9" ht="49.5" customHeight="1">
      <c r="A82" s="1" t="str">
        <f>"&lt;resource id="""&amp;Controls!B82&amp;""" "&amp;IF(0,"path=""{"&amp;Controls!B82&amp;"Path}""","")&amp;" wx:samplePath="""&amp;Controls!C82&amp;"""&gt;&lt;doc title="""&amp;Controls!$B82&amp;"""&gt;"&amp;Controls!P82&amp;"&lt;/doc&gt;"</f>
        <v>&lt;resource id="CustomerAgreementList"  wx:samplePath="/bill/{id1}/ca"&gt;&lt;doc title="CustomerAgreementList"&gt;A list of customer agreements&lt;/doc&gt;</v>
      </c>
      <c r="B82" s="1" t="str">
        <f>"&lt;method id="""&amp;Controls!D$1&amp;Controls!$B82&amp;""" name="""&amp;Controls!D$1&amp;""" wx:mode="""&amp;Controls!D82&amp;"""&gt;"&amp;IF(Controls!D82="E","&lt;response status=""400""/&gt;&lt;response status=""405""/&gt;",I82&amp;"&lt;response&gt;&lt;representation mediaType="""&amp;Var!$B$18&amp;""" element=""sep:"&amp;Controls!$W82&amp;"""/&gt;&lt;representation mediaType="""&amp;Var!$B$19&amp;""" element=""sep:"&amp;Controls!$W82&amp;"""/&gt;&lt;/response&gt;")&amp;"&lt;/method&gt;"</f>
        <v>&lt;method id="GETCustomerAgreementList"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element="sep:CustomerAgreementList"/&gt;&lt;representation mediaType="application/sep-exi" element="sep:CustomerAgreementList"/&gt;&lt;/response&gt;&lt;/method&gt;</v>
      </c>
      <c r="C82" s="1" t="str">
        <f>"&lt;method id=""HEAD"&amp;Controls!$B82&amp;""" name=""HEAD"" wx:mode="""&amp;Controls!D82&amp;"""/&gt;"</f>
        <v>&lt;method id="HEADCustomerAgreementList" name="HEAD" wx:mode="M"/&gt;</v>
      </c>
      <c r="D82" s="1" t="str">
        <f>"&lt;method id="""&amp;Controls!E$1&amp;Controls!$B82&amp;""" name="""&amp;Controls!E$1&amp;""" wx:mode="""&amp;Controls!E82&amp;"""&gt;&lt;request&gt;&lt;representation mediaType="""&amp;Var!$B$18&amp;""" element=""sep:"&amp;Controls!$V82&amp;"""/&gt;&lt;representation mediaType="""&amp;Var!$B$19&amp;""" element=""sep:"&amp;Controls!$V82&amp;"""/&gt;&lt;/request&gt;"&amp;IF(Controls!E82="E","&lt;response status=""400""/&gt;&lt;response status=""405""/&gt;","")&amp;"&lt;/method&gt;"</f>
        <v>&lt;method id="PUTCustomerAgreementList" name="PUT" wx:mode="E"&gt;&lt;request&gt;&lt;representation mediaType="application/sep+xml" element="sep:CustomerAgreement"/&gt;&lt;representation mediaType="application/sep-exi" element="sep:CustomerAgreement"/&gt;&lt;/request&gt;&lt;response status="400"/&gt;&lt;response status="405"/&gt;&lt;/method&gt;</v>
      </c>
      <c r="E82" s="1" t="str">
        <f>"&lt;method id="""&amp;Controls!F$1&amp;Controls!$B82&amp;""" name="""&amp;Controls!F$1&amp;""" wx:mode="""&amp;Controls!F82&amp;"""&gt;"&amp;IF(Controls!B82="MirrorUsagePoint",Var!$B$21,"&lt;request&gt;&lt;representation mediaType="""&amp;Var!$B$18&amp;""" element=""sep:"&amp;Controls!$V82&amp;"""/&gt;&lt;representation mediaType="""&amp;Var!$B$19&amp;""" element=""sep:"&amp;Controls!$V82&amp;"""/&gt;&lt;/request&gt;")&amp;IF(Controls!F82="E","&lt;response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id="POSTCustomerAgreementList" name="POST" wx:mode="D"&gt;&lt;request&gt;&lt;representation mediaType="application/sep+xml" element="sep:CustomerAgreement"/&gt;&lt;representation mediaType="application/sep-exi" element="sep:CustomerAgreement"/&gt;&lt;/request&gt;&lt;response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82" s="1" t="str">
        <f>"&lt;method id="""&amp;Controls!G$1&amp;Controls!$B82&amp;""" name="""&amp;Controls!G$1&amp;""" wx:mode="""&amp;Controls!G82&amp;"""&gt;"&amp;IF(Controls!G82="E","&lt;response status=""400""/&gt;&lt;response status=""405""/&gt;","&lt;response&gt;&lt;representation mediaType=""application/xml"" element=""sep:"&amp;Controls!$V82&amp;"""/&gt;&lt;/response&gt;")&amp;"&lt;/method&gt;"</f>
        <v>&lt;method id="DELETECustomerAgreementList" name="DELETE" wx:mode="E"&gt;&lt;response status="400"/&gt;&lt;response status="405"/&gt;&lt;/method&gt;</v>
      </c>
      <c r="G82" s="1" t="str">
        <f ca="1">IF(ISBLANK(Controls!B82),"",OFFSET(Var!B$11,Controls!O82,0)&amp;"&lt;/resource&gt;")</f>
        <v>&lt;wx:sampleParam name="id1" style="template" type="idType"/&gt;&lt;/resource&gt;</v>
      </c>
      <c r="I82" s="6" t="str">
        <f>IF(Controls!K82,"&lt;request&gt;&lt;param name=""s"" style=""query"" type=""xsd:int""&gt;&lt;doc&gt;start&lt;/doc&gt;&lt;/param&gt;"&amp;IF(Controls!L82,"&lt;param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83" spans="1:9" ht="49.5" customHeight="1">
      <c r="A83" s="1" t="str">
        <f>"&lt;resource id="""&amp;Controls!B83&amp;""" "&amp;IF(0,"path=""{"&amp;Controls!B83&amp;"Path}""","")&amp;" wx:samplePath="""&amp;Controls!C83&amp;"""&gt;&lt;doc title="""&amp;Controls!$B83&amp;"""&gt;"&amp;Controls!P83&amp;"&lt;/doc&gt;"</f>
        <v>&lt;resource id="CustomerAgreement"  wx:samplePath="/bill/{id1}/ca/{id2}"&gt;&lt;doc title="CustomerAgreement"&gt;A customer agreement&lt;/doc&gt;</v>
      </c>
      <c r="B83" s="1" t="str">
        <f>"&lt;method id="""&amp;Controls!D$1&amp;Controls!$B83&amp;""" name="""&amp;Controls!D$1&amp;""" wx:mode="""&amp;Controls!D83&amp;"""&gt;"&amp;IF(Controls!D83="E","&lt;response status=""400""/&gt;&lt;response status=""405""/&gt;",I83&amp;"&lt;response&gt;&lt;representation mediaType="""&amp;Var!$B$18&amp;""" element=""sep:"&amp;Controls!$W83&amp;"""/&gt;&lt;representation mediaType="""&amp;Var!$B$19&amp;""" element=""sep:"&amp;Controls!$W83&amp;"""/&gt;&lt;/response&gt;")&amp;"&lt;/method&gt;"</f>
        <v>&lt;method id="GETCustomerAgreement" name="GET" wx:mode="M"&gt;&lt;response&gt;&lt;representation mediaType="application/sep+xml" element="sep:CustomerAgreement"/&gt;&lt;representation mediaType="application/sep-exi" element="sep:CustomerAgreement"/&gt;&lt;/response&gt;&lt;/method&gt;</v>
      </c>
      <c r="C83" s="1" t="str">
        <f>"&lt;method id=""HEAD"&amp;Controls!$B83&amp;""" name=""HEAD"" wx:mode="""&amp;Controls!D83&amp;"""/&gt;"</f>
        <v>&lt;method id="HEADCustomerAgreement" name="HEAD" wx:mode="M"/&gt;</v>
      </c>
      <c r="D83" s="1" t="str">
        <f>"&lt;method id="""&amp;Controls!E$1&amp;Controls!$B83&amp;""" name="""&amp;Controls!E$1&amp;""" wx:mode="""&amp;Controls!E83&amp;"""&gt;&lt;request&gt;&lt;representation mediaType="""&amp;Var!$B$18&amp;""" element=""sep:"&amp;Controls!$V83&amp;"""/&gt;&lt;representation mediaType="""&amp;Var!$B$19&amp;""" element=""sep:"&amp;Controls!$V83&amp;"""/&gt;&lt;/request&gt;"&amp;IF(Controls!E83="E","&lt;response status=""400""/&gt;&lt;response status=""405""/&gt;","")&amp;"&lt;/method&gt;"</f>
        <v>&lt;method id="PUTCustomerAgreement" name="PUT" wx:mode="E"&gt;&lt;request&gt;&lt;representation mediaType="application/sep+xml" element="sep:CustomerAgreement"/&gt;&lt;representation mediaType="application/sep-exi" element="sep:CustomerAgreement"/&gt;&lt;/request&gt;&lt;response status="400"/&gt;&lt;response status="405"/&gt;&lt;/method&gt;</v>
      </c>
      <c r="E83" s="1" t="str">
        <f>"&lt;method id="""&amp;Controls!F$1&amp;Controls!$B83&amp;""" name="""&amp;Controls!F$1&amp;""" wx:mode="""&amp;Controls!F83&amp;"""&gt;"&amp;IF(Controls!B83="MirrorUsagePoint",Var!$B$21,"&lt;request&gt;&lt;representation mediaType="""&amp;Var!$B$18&amp;""" element=""sep:"&amp;Controls!$V83&amp;"""/&gt;&lt;representation mediaType="""&amp;Var!$B$19&amp;""" element=""sep:"&amp;Controls!$V83&amp;"""/&gt;&lt;/request&gt;")&amp;IF(Controls!F83="E","&lt;response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id="POSTCustomerAgreement" name="POST" wx:mode="E"&gt;&lt;request&gt;&lt;representation mediaType="application/sep+xml" element="sep:CustomerAgreement"/&gt;&lt;representation mediaType="application/sep-exi" element="sep:CustomerAgreement"/&gt;&lt;/request&gt;&lt;response status="400"/&gt;&lt;response status="405"/&gt;&lt;/method&gt;</v>
      </c>
      <c r="F83" s="1" t="str">
        <f>"&lt;method id="""&amp;Controls!G$1&amp;Controls!$B83&amp;""" name="""&amp;Controls!G$1&amp;""" wx:mode="""&amp;Controls!G83&amp;"""&gt;"&amp;IF(Controls!G83="E","&lt;response status=""400""/&gt;&lt;response status=""405""/&gt;","&lt;response&gt;&lt;representation mediaType=""application/xml"" element=""sep:"&amp;Controls!$V83&amp;"""/&gt;&lt;/response&gt;")&amp;"&lt;/method&gt;"</f>
        <v>&lt;method id="DELETECustomerAgreement" name="DELETE" wx:mode="D"&gt;&lt;response&gt;&lt;representation mediaType="application/xml" element="sep:CustomerAgreement"/&gt;&lt;/response&gt;&lt;/method&gt;</v>
      </c>
      <c r="G83" s="1" t="str">
        <f ca="1">IF(ISBLANK(Controls!B83),"",OFFSET(Var!B$11,Controls!O83,0)&amp;"&lt;/resource&gt;")</f>
        <v>&lt;wx:sampleParam name="id1" style="template" type="idType"/&gt;&lt;wx:sampleParam name="id2" style="template" type="idType"/&gt;&lt;/resource&gt;</v>
      </c>
      <c r="I83" s="6" t="str">
        <f>IF(Controls!K83,"&lt;request&gt;&lt;param name=""s"" style=""query"" type=""xsd:int""&gt;&lt;doc&gt;start&lt;/doc&gt;&lt;/param&gt;"&amp;IF(Controls!L83,"&lt;param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84" spans="1:9" ht="49.5" customHeight="1">
      <c r="A84" s="1" t="str">
        <f>"&lt;resource id="""&amp;Controls!B84&amp;""" "&amp;IF(0,"path=""{"&amp;Controls!B84&amp;"Path}""","")&amp;" wx:samplePath="""&amp;Controls!C84&amp;"""&gt;&lt;doc title="""&amp;Controls!$B84&amp;"""&gt;"&amp;Controls!P84&amp;"&lt;/doc&gt;"</f>
        <v>&lt;resource id="ActiveBillingPeriodList"  wx:samplePath="/bill/{id1}/ca/{id2}/actbp"&gt;&lt;doc title="ActiveBillingPeriodList"&gt;A list of active billing periods.&lt;/doc&gt;</v>
      </c>
      <c r="B84" s="1" t="str">
        <f>"&lt;method id="""&amp;Controls!D$1&amp;Controls!$B84&amp;""" name="""&amp;Controls!D$1&amp;""" wx:mode="""&amp;Controls!D84&amp;"""&gt;"&amp;IF(Controls!D84="E","&lt;response status=""400""/&gt;&lt;response status=""405""/&gt;",I84&amp;"&lt;response&gt;&lt;representation mediaType="""&amp;Var!$B$18&amp;""" element=""sep:"&amp;Controls!$W84&amp;"""/&gt;&lt;representation mediaType="""&amp;Var!$B$19&amp;""" element=""sep:"&amp;Controls!$W84&amp;"""/&gt;&lt;/response&gt;")&amp;"&lt;/method&gt;"</f>
        <v>&lt;method id="GETActiveBillingPeriodList"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element="sep:BillingPeriodList"/&gt;&lt;representation mediaType="application/sep-exi" element="sep:BillingPeriodList"/&gt;&lt;/response&gt;&lt;/method&gt;</v>
      </c>
      <c r="C84" s="1" t="str">
        <f>"&lt;method id=""HEAD"&amp;Controls!$B84&amp;""" name=""HEAD"" wx:mode="""&amp;Controls!D84&amp;"""/&gt;"</f>
        <v>&lt;method id="HEADActiveBillingPeriodList" name="HEAD" wx:mode="M"/&gt;</v>
      </c>
      <c r="D84" s="1" t="str">
        <f>"&lt;method id="""&amp;Controls!E$1&amp;Controls!$B84&amp;""" name="""&amp;Controls!E$1&amp;""" wx:mode="""&amp;Controls!E84&amp;"""&gt;&lt;request&gt;&lt;representation mediaType="""&amp;Var!$B$18&amp;""" element=""sep:"&amp;Controls!$V84&amp;"""/&gt;&lt;representation mediaType="""&amp;Var!$B$19&amp;""" element=""sep:"&amp;Controls!$V84&amp;"""/&gt;&lt;/request&gt;"&amp;IF(Controls!E84="E","&lt;response status=""400""/&gt;&lt;response status=""405""/&gt;","")&amp;"&lt;/method&gt;"</f>
        <v>&lt;method id="PUTActiveBillingPeriodList" name="PUT" wx:mode="E"&gt;&lt;request&gt;&lt;representation mediaType="application/sep+xml" element="sep:BillingPeriod"/&gt;&lt;representation mediaType="application/sep-exi" element="sep:BillingPeriod"/&gt;&lt;/request&gt;&lt;response status="400"/&gt;&lt;response status="405"/&gt;&lt;/method&gt;</v>
      </c>
      <c r="E84" s="1" t="str">
        <f>"&lt;method id="""&amp;Controls!F$1&amp;Controls!$B84&amp;""" name="""&amp;Controls!F$1&amp;""" wx:mode="""&amp;Controls!F84&amp;"""&gt;"&amp;IF(Controls!B84="MirrorUsagePoint",Var!$B$21,"&lt;request&gt;&lt;representation mediaType="""&amp;Var!$B$18&amp;""" element=""sep:"&amp;Controls!$V84&amp;"""/&gt;&lt;representation mediaType="""&amp;Var!$B$19&amp;""" element=""sep:"&amp;Controls!$V84&amp;"""/&gt;&lt;/request&gt;")&amp;IF(Controls!F84="E","&lt;response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id="POSTActiveBillingPeriodList" name="POST" wx:mode="E"&gt;&lt;request&gt;&lt;representation mediaType="application/sep+xml" element="sep:BillingPeriod"/&gt;&lt;representation mediaType="application/sep-exi" element="sep:BillingPeriod"/&gt;&lt;/request&gt;&lt;response status="400"/&gt;&lt;response status="405"/&gt;&lt;/method&gt;</v>
      </c>
      <c r="F84" s="1" t="str">
        <f>"&lt;method id="""&amp;Controls!G$1&amp;Controls!$B84&amp;""" name="""&amp;Controls!G$1&amp;""" wx:mode="""&amp;Controls!G84&amp;"""&gt;"&amp;IF(Controls!G84="E","&lt;response status=""400""/&gt;&lt;response status=""405""/&gt;","&lt;response&gt;&lt;representation mediaType=""application/xml"" element=""sep:"&amp;Controls!$V84&amp;"""/&gt;&lt;/response&gt;")&amp;"&lt;/method&gt;"</f>
        <v>&lt;method id="DELETEActiveBillingPeriodList" name="DELETE" wx:mode="E"&gt;&lt;response status="400"/&gt;&lt;response status="405"/&gt;&lt;/method&gt;</v>
      </c>
      <c r="G84" s="1" t="str">
        <f ca="1">IF(ISBLANK(Controls!B84),"",OFFSET(Var!B$11,Controls!O84,0)&amp;"&lt;/resource&gt;")</f>
        <v>&lt;wx:sampleParam name="id1" style="template" type="idType"/&gt;&lt;wx:sampleParam name="id2" style="template" type="idType"/&gt;&lt;/resource&gt;</v>
      </c>
      <c r="I84" s="6" t="str">
        <f>IF(Controls!K84,"&lt;request&gt;&lt;param name=""s"" style=""query"" type=""xsd:int""&gt;&lt;doc&gt;start&lt;/doc&gt;&lt;/param&gt;"&amp;IF(Controls!L84,"&lt;param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85" spans="1:9" ht="49.5" customHeight="1">
      <c r="A85" s="1" t="str">
        <f>"&lt;resource id="""&amp;Controls!B85&amp;""" "&amp;IF(0,"path=""{"&amp;Controls!B85&amp;"Path}""","")&amp;" wx:samplePath="""&amp;Controls!C85&amp;"""&gt;&lt;doc title="""&amp;Controls!$B85&amp;"""&gt;"&amp;Controls!P85&amp;"&lt;/doc&gt;"</f>
        <v>&lt;resource id="BillingPeriodList"  wx:samplePath="/bill/{id1}/ca/{id2}/bp"&gt;&lt;doc title="BillingPeriodList"&gt;List of BillingPeriods&lt;/doc&gt;</v>
      </c>
      <c r="B85" s="1" t="str">
        <f>"&lt;method id="""&amp;Controls!D$1&amp;Controls!$B85&amp;""" name="""&amp;Controls!D$1&amp;""" wx:mode="""&amp;Controls!D85&amp;"""&gt;"&amp;IF(Controls!D85="E","&lt;response status=""400""/&gt;&lt;response status=""405""/&gt;",I85&amp;"&lt;response&gt;&lt;representation mediaType="""&amp;Var!$B$18&amp;""" element=""sep:"&amp;Controls!$W85&amp;"""/&gt;&lt;representation mediaType="""&amp;Var!$B$19&amp;""" element=""sep:"&amp;Controls!$W85&amp;"""/&gt;&lt;/response&gt;")&amp;"&lt;/method&gt;"</f>
        <v>&lt;method id="GETBillingPeriodList"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element="sep:BillingPeriodList"/&gt;&lt;representation mediaType="application/sep-exi" element="sep:BillingPeriodList"/&gt;&lt;/response&gt;&lt;/method&gt;</v>
      </c>
      <c r="C85" s="1" t="str">
        <f>"&lt;method id=""HEAD"&amp;Controls!$B85&amp;""" name=""HEAD"" wx:mode="""&amp;Controls!D85&amp;"""/&gt;"</f>
        <v>&lt;method id="HEADBillingPeriodList" name="HEAD" wx:mode="M"/&gt;</v>
      </c>
      <c r="D85" s="1" t="str">
        <f>"&lt;method id="""&amp;Controls!E$1&amp;Controls!$B85&amp;""" name="""&amp;Controls!E$1&amp;""" wx:mode="""&amp;Controls!E85&amp;"""&gt;&lt;request&gt;&lt;representation mediaType="""&amp;Var!$B$18&amp;""" element=""sep:"&amp;Controls!$V85&amp;"""/&gt;&lt;representation mediaType="""&amp;Var!$B$19&amp;""" element=""sep:"&amp;Controls!$V85&amp;"""/&gt;&lt;/request&gt;"&amp;IF(Controls!E85="E","&lt;response status=""400""/&gt;&lt;response status=""405""/&gt;","")&amp;"&lt;/method&gt;"</f>
        <v>&lt;method id="PUTBillingPeriodList" name="PUT" wx:mode="E"&gt;&lt;request&gt;&lt;representation mediaType="application/sep+xml" element="sep:BillingPeriod"/&gt;&lt;representation mediaType="application/sep-exi" element="sep:BillingPeriod"/&gt;&lt;/request&gt;&lt;response status="400"/&gt;&lt;response status="405"/&gt;&lt;/method&gt;</v>
      </c>
      <c r="E85" s="1" t="str">
        <f>"&lt;method id="""&amp;Controls!F$1&amp;Controls!$B85&amp;""" name="""&amp;Controls!F$1&amp;""" wx:mode="""&amp;Controls!F85&amp;"""&gt;"&amp;IF(Controls!B85="MirrorUsagePoint",Var!$B$21,"&lt;request&gt;&lt;representation mediaType="""&amp;Var!$B$18&amp;""" element=""sep:"&amp;Controls!$V85&amp;"""/&gt;&lt;representation mediaType="""&amp;Var!$B$19&amp;""" element=""sep:"&amp;Controls!$V85&amp;"""/&gt;&lt;/request&gt;")&amp;IF(Controls!F85="E","&lt;response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id="POSTBillingPeriodList" name="POST" wx:mode="D"&gt;&lt;request&gt;&lt;representation mediaType="application/sep+xml" element="sep:BillingPeriod"/&gt;&lt;representation mediaType="application/sep-exi" element="sep:BillingPeriod"/&gt;&lt;/request&gt;&lt;response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85" s="1" t="str">
        <f>"&lt;method id="""&amp;Controls!G$1&amp;Controls!$B85&amp;""" name="""&amp;Controls!G$1&amp;""" wx:mode="""&amp;Controls!G85&amp;"""&gt;"&amp;IF(Controls!G85="E","&lt;response status=""400""/&gt;&lt;response status=""405""/&gt;","&lt;response&gt;&lt;representation mediaType=""application/xml"" element=""sep:"&amp;Controls!$V85&amp;"""/&gt;&lt;/response&gt;")&amp;"&lt;/method&gt;"</f>
        <v>&lt;method id="DELETEBillingPeriodList" name="DELETE" wx:mode="E"&gt;&lt;response status="400"/&gt;&lt;response status="405"/&gt;&lt;/method&gt;</v>
      </c>
      <c r="G85" s="1" t="str">
        <f ca="1">IF(ISBLANK(Controls!B85),"",OFFSET(Var!B$11,Controls!O85,0)&amp;"&lt;/resource&gt;")</f>
        <v>&lt;wx:sampleParam name="id1" style="template" type="idType"/&gt;&lt;wx:sampleParam name="id2" style="template" type="idType"/&gt;&lt;/resource&gt;</v>
      </c>
      <c r="I85" s="6" t="str">
        <f>IF(Controls!K85,"&lt;request&gt;&lt;param name=""s"" style=""query"" type=""xsd:int""&gt;&lt;doc&gt;start&lt;/doc&gt;&lt;/param&gt;"&amp;IF(Controls!L85,"&lt;param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86" spans="1:9" ht="49.5" customHeight="1">
      <c r="A86" s="1" t="str">
        <f>"&lt;resource id="""&amp;Controls!B86&amp;""" "&amp;IF(0,"path=""{"&amp;Controls!B86&amp;"Path}""","")&amp;" wx:samplePath="""&amp;Controls!C86&amp;"""&gt;&lt;doc title="""&amp;Controls!$B86&amp;"""&gt;"&amp;Controls!P86&amp;"&lt;/doc&gt;"</f>
        <v>&lt;resource id="BillingPeriod"  wx:samplePath="/bill/{id1}/ca/{id2}/bp/{id3}"&gt;&lt;doc title="BillingPeriod"&gt;Specific Billing Period information&lt;/doc&gt;</v>
      </c>
      <c r="B86" s="1" t="str">
        <f>"&lt;method id="""&amp;Controls!D$1&amp;Controls!$B86&amp;""" name="""&amp;Controls!D$1&amp;""" wx:mode="""&amp;Controls!D86&amp;"""&gt;"&amp;IF(Controls!D86="E","&lt;response status=""400""/&gt;&lt;response status=""405""/&gt;",I86&amp;"&lt;response&gt;&lt;representation mediaType="""&amp;Var!$B$18&amp;""" element=""sep:"&amp;Controls!$W86&amp;"""/&gt;&lt;representation mediaType="""&amp;Var!$B$19&amp;""" element=""sep:"&amp;Controls!$W86&amp;"""/&gt;&lt;/response&gt;")&amp;"&lt;/method&gt;"</f>
        <v>&lt;method id="GETBillingPeriod" name="GET" wx:mode="M"&gt;&lt;response&gt;&lt;representation mediaType="application/sep+xml" element="sep:BillingPeriod"/&gt;&lt;representation mediaType="application/sep-exi" element="sep:BillingPeriod"/&gt;&lt;/response&gt;&lt;/method&gt;</v>
      </c>
      <c r="C86" s="1" t="str">
        <f>"&lt;method id=""HEAD"&amp;Controls!$B86&amp;""" name=""HEAD"" wx:mode="""&amp;Controls!D86&amp;"""/&gt;"</f>
        <v>&lt;method id="HEADBillingPeriod" name="HEAD" wx:mode="M"/&gt;</v>
      </c>
      <c r="D86" s="1" t="str">
        <f>"&lt;method id="""&amp;Controls!E$1&amp;Controls!$B86&amp;""" name="""&amp;Controls!E$1&amp;""" wx:mode="""&amp;Controls!E86&amp;"""&gt;&lt;request&gt;&lt;representation mediaType="""&amp;Var!$B$18&amp;""" element=""sep:"&amp;Controls!$V86&amp;"""/&gt;&lt;representation mediaType="""&amp;Var!$B$19&amp;""" element=""sep:"&amp;Controls!$V86&amp;"""/&gt;&lt;/request&gt;"&amp;IF(Controls!E86="E","&lt;response status=""400""/&gt;&lt;response status=""405""/&gt;","")&amp;"&lt;/method&gt;"</f>
        <v>&lt;method id="PUTBillingPeriod" name="PUT" wx:mode="D"&gt;&lt;request&gt;&lt;representation mediaType="application/sep+xml" element="sep:BillingPeriod"/&gt;&lt;representation mediaType="application/sep-exi" element="sep:BillingPeriod"/&gt;&lt;/request&gt;&lt;/method&gt;</v>
      </c>
      <c r="E86" s="1" t="str">
        <f>"&lt;method id="""&amp;Controls!F$1&amp;Controls!$B86&amp;""" name="""&amp;Controls!F$1&amp;""" wx:mode="""&amp;Controls!F86&amp;"""&gt;"&amp;IF(Controls!B86="MirrorUsagePoint",Var!$B$21,"&lt;request&gt;&lt;representation mediaType="""&amp;Var!$B$18&amp;""" element=""sep:"&amp;Controls!$V86&amp;"""/&gt;&lt;representation mediaType="""&amp;Var!$B$19&amp;""" element=""sep:"&amp;Controls!$V86&amp;"""/&gt;&lt;/request&gt;")&amp;IF(Controls!F86="E","&lt;response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id="POSTBillingPeriod" name="POST" wx:mode="E"&gt;&lt;request&gt;&lt;representation mediaType="application/sep+xml" element="sep:BillingPeriod"/&gt;&lt;representation mediaType="application/sep-exi" element="sep:BillingPeriod"/&gt;&lt;/request&gt;&lt;response status="400"/&gt;&lt;response status="405"/&gt;&lt;/method&gt;</v>
      </c>
      <c r="F86" s="1" t="str">
        <f>"&lt;method id="""&amp;Controls!G$1&amp;Controls!$B86&amp;""" name="""&amp;Controls!G$1&amp;""" wx:mode="""&amp;Controls!G86&amp;"""&gt;"&amp;IF(Controls!G86="E","&lt;response status=""400""/&gt;&lt;response status=""405""/&gt;","&lt;response&gt;&lt;representation mediaType=""application/xml"" element=""sep:"&amp;Controls!$V86&amp;"""/&gt;&lt;/response&gt;")&amp;"&lt;/method&gt;"</f>
        <v>&lt;method id="DELETEBillingPeriod" name="DELETE" wx:mode="D"&gt;&lt;response&gt;&lt;representation mediaType="application/xml" element="sep:BillingPeriod"/&gt;&lt;/response&gt;&lt;/method&gt;</v>
      </c>
      <c r="G86" s="1" t="str">
        <f ca="1">IF(ISBLANK(Controls!B86),"",OFFSET(Var!B$11,Controls!O86,0)&amp;"&lt;/resource&gt;")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86" s="6" t="str">
        <f>IF(Controls!K86,"&lt;request&gt;&lt;param name=""s"" style=""query"" type=""xsd:int""&gt;&lt;doc&gt;start&lt;/doc&gt;&lt;/param&gt;"&amp;IF(Controls!L86,"&lt;param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87" spans="1:9" ht="49.5" customHeight="1">
      <c r="A87" s="1" t="str">
        <f>"&lt;resource id="""&amp;Controls!B87&amp;""" "&amp;IF(0,"path=""{"&amp;Controls!B87&amp;"Path}""","")&amp;" wx:samplePath="""&amp;Controls!C87&amp;"""&gt;&lt;doc title="""&amp;Controls!$B87&amp;"""&gt;"&amp;Controls!P87&amp;"&lt;/doc&gt;"</f>
        <v>&lt;resource id="ProjectionReadingList"  wx:samplePath="/bill/{id1}/ca/{id2}/pro"&gt;&lt;doc title="ProjectionReadingList"&gt;A list of reading projections.&lt;/doc&gt;</v>
      </c>
      <c r="B87" s="1" t="str">
        <f>"&lt;method id="""&amp;Controls!D$1&amp;Controls!$B87&amp;""" name="""&amp;Controls!D$1&amp;""" wx:mode="""&amp;Controls!D87&amp;"""&gt;"&amp;IF(Controls!D87="E","&lt;response status=""400""/&gt;&lt;response status=""405""/&gt;",I87&amp;"&lt;response&gt;&lt;representation mediaType="""&amp;Var!$B$18&amp;""" element=""sep:"&amp;Controls!$W87&amp;"""/&gt;&lt;representation mediaType="""&amp;Var!$B$19&amp;""" element=""sep:"&amp;Controls!$W87&amp;"""/&gt;&lt;/response&gt;")&amp;"&lt;/method&gt;"</f>
        <v>&lt;method id="GETProjectionReadingList"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element="sep:ProjectionReadingList"/&gt;&lt;representation mediaType="application/sep-exi" element="sep:ProjectionReadingList"/&gt;&lt;/response&gt;&lt;/method&gt;</v>
      </c>
      <c r="C87" s="1" t="str">
        <f>"&lt;method id=""HEAD"&amp;Controls!$B87&amp;""" name=""HEAD"" wx:mode="""&amp;Controls!D87&amp;"""/&gt;"</f>
        <v>&lt;method id="HEADProjectionReadingList" name="HEAD" wx:mode="M"/&gt;</v>
      </c>
      <c r="D87" s="1" t="str">
        <f>"&lt;method id="""&amp;Controls!E$1&amp;Controls!$B87&amp;""" name="""&amp;Controls!E$1&amp;""" wx:mode="""&amp;Controls!E87&amp;"""&gt;&lt;request&gt;&lt;representation mediaType="""&amp;Var!$B$18&amp;""" element=""sep:"&amp;Controls!$V87&amp;"""/&gt;&lt;representation mediaType="""&amp;Var!$B$19&amp;""" element=""sep:"&amp;Controls!$V87&amp;"""/&gt;&lt;/request&gt;"&amp;IF(Controls!E87="E","&lt;response status=""400""/&gt;&lt;response status=""405""/&gt;","")&amp;"&lt;/method&gt;"</f>
        <v>&lt;method id="PUTProjectionReadingList" name="PUT" wx:mode="E"&gt;&lt;request&gt;&lt;representation mediaType="application/sep+xml" element="sep:ProjectionReading"/&gt;&lt;representation mediaType="application/sep-exi" element="sep:ProjectionReading"/&gt;&lt;/request&gt;&lt;response status="400"/&gt;&lt;response status="405"/&gt;&lt;/method&gt;</v>
      </c>
      <c r="E87" s="1" t="str">
        <f>"&lt;method id="""&amp;Controls!F$1&amp;Controls!$B87&amp;""" name="""&amp;Controls!F$1&amp;""" wx:mode="""&amp;Controls!F87&amp;"""&gt;"&amp;IF(Controls!B87="MirrorUsagePoint",Var!$B$21,"&lt;request&gt;&lt;representation mediaType="""&amp;Var!$B$18&amp;""" element=""sep:"&amp;Controls!$V87&amp;"""/&gt;&lt;representation mediaType="""&amp;Var!$B$19&amp;""" element=""sep:"&amp;Controls!$V87&amp;"""/&gt;&lt;/request&gt;")&amp;IF(Controls!F87="E","&lt;response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id="POSTProjectionReadingList" name="POST" wx:mode="D"&gt;&lt;request&gt;&lt;representation mediaType="application/sep+xml" element="sep:ProjectionReading"/&gt;&lt;representation mediaType="application/sep-exi" element="sep:ProjectionReading"/&gt;&lt;/request&gt;&lt;response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87" s="1" t="str">
        <f>"&lt;method id="""&amp;Controls!G$1&amp;Controls!$B87&amp;""" name="""&amp;Controls!G$1&amp;""" wx:mode="""&amp;Controls!G87&amp;"""&gt;"&amp;IF(Controls!G87="E","&lt;response status=""400""/&gt;&lt;response status=""405""/&gt;","&lt;response&gt;&lt;representation mediaType=""application/xml"" element=""sep:"&amp;Controls!$V87&amp;"""/&gt;&lt;/response&gt;")&amp;"&lt;/method&gt;"</f>
        <v>&lt;method id="DELETEProjectionReadingList" name="DELETE" wx:mode="E"&gt;&lt;response status="400"/&gt;&lt;response status="405"/&gt;&lt;/method&gt;</v>
      </c>
      <c r="G87" s="1" t="str">
        <f ca="1">IF(ISBLANK(Controls!B87),"",OFFSET(Var!B$11,Controls!O87,0)&amp;"&lt;/resource&gt;")</f>
        <v>&lt;wx:sampleParam name="id1" style="template" type="idType"/&gt;&lt;wx:sampleParam name="id2" style="template" type="idType"/&gt;&lt;/resource&gt;</v>
      </c>
      <c r="I87" s="6" t="str">
        <f>IF(Controls!K87,"&lt;request&gt;&lt;param name=""s"" style=""query"" type=""xsd:int""&gt;&lt;doc&gt;start&lt;/doc&gt;&lt;/param&gt;"&amp;IF(Controls!L87,"&lt;param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88" spans="1:9" ht="49.5" customHeight="1">
      <c r="A88" s="1" t="str">
        <f>"&lt;resource id="""&amp;Controls!B88&amp;""" "&amp;IF(0,"path=""{"&amp;Controls!B88&amp;"Path}""","")&amp;" wx:samplePath="""&amp;Controls!C88&amp;"""&gt;&lt;doc title="""&amp;Controls!$B88&amp;"""&gt;"&amp;Controls!P88&amp;"&lt;/doc&gt;"</f>
        <v>&lt;resource id="ProjectionReading"  wx:samplePath="/bill/{id1}/ca/{id2}/pro/{id3}"&gt;&lt;doc title="ProjectionReading"&gt;A specific projection reading channel&lt;/doc&gt;</v>
      </c>
      <c r="B88" s="1" t="str">
        <f>"&lt;method id="""&amp;Controls!D$1&amp;Controls!$B88&amp;""" name="""&amp;Controls!D$1&amp;""" wx:mode="""&amp;Controls!D88&amp;"""&gt;"&amp;IF(Controls!D88="E","&lt;response status=""400""/&gt;&lt;response status=""405""/&gt;",I88&amp;"&lt;response&gt;&lt;representation mediaType="""&amp;Var!$B$18&amp;""" element=""sep:"&amp;Controls!$W88&amp;"""/&gt;&lt;representation mediaType="""&amp;Var!$B$19&amp;""" element=""sep:"&amp;Controls!$W88&amp;"""/&gt;&lt;/response&gt;")&amp;"&lt;/method&gt;"</f>
        <v>&lt;method id="GETProjectionReading" name="GET" wx:mode="M"&gt;&lt;response&gt;&lt;representation mediaType="application/sep+xml" element="sep:ProjectionReading"/&gt;&lt;representation mediaType="application/sep-exi" element="sep:ProjectionReading"/&gt;&lt;/response&gt;&lt;/method&gt;</v>
      </c>
      <c r="C88" s="1" t="str">
        <f>"&lt;method id=""HEAD"&amp;Controls!$B88&amp;""" name=""HEAD"" wx:mode="""&amp;Controls!D88&amp;"""/&gt;"</f>
        <v>&lt;method id="HEADProjectionReading" name="HEAD" wx:mode="M"/&gt;</v>
      </c>
      <c r="D88" s="1" t="str">
        <f>"&lt;method id="""&amp;Controls!E$1&amp;Controls!$B88&amp;""" name="""&amp;Controls!E$1&amp;""" wx:mode="""&amp;Controls!E88&amp;"""&gt;&lt;request&gt;&lt;representation mediaType="""&amp;Var!$B$18&amp;""" element=""sep:"&amp;Controls!$V88&amp;"""/&gt;&lt;representation mediaType="""&amp;Var!$B$19&amp;""" element=""sep:"&amp;Controls!$V88&amp;"""/&gt;&lt;/request&gt;"&amp;IF(Controls!E88="E","&lt;response status=""400""/&gt;&lt;response status=""405""/&gt;","")&amp;"&lt;/method&gt;"</f>
        <v>&lt;method id="PUTProjectionReading" name="PUT" wx:mode="D"&gt;&lt;request&gt;&lt;representation mediaType="application/sep+xml" element="sep:ProjectionReading"/&gt;&lt;representation mediaType="application/sep-exi" element="sep:ProjectionReading"/&gt;&lt;/request&gt;&lt;/method&gt;</v>
      </c>
      <c r="E88" s="1" t="str">
        <f>"&lt;method id="""&amp;Controls!F$1&amp;Controls!$B88&amp;""" name="""&amp;Controls!F$1&amp;""" wx:mode="""&amp;Controls!F88&amp;"""&gt;"&amp;IF(Controls!B88="MirrorUsagePoint",Var!$B$21,"&lt;request&gt;&lt;representation mediaType="""&amp;Var!$B$18&amp;""" element=""sep:"&amp;Controls!$V88&amp;"""/&gt;&lt;representation mediaType="""&amp;Var!$B$19&amp;""" element=""sep:"&amp;Controls!$V88&amp;"""/&gt;&lt;/request&gt;")&amp;IF(Controls!F88="E","&lt;response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id="POSTProjectionReading" name="POST" wx:mode="E"&gt;&lt;request&gt;&lt;representation mediaType="application/sep+xml" element="sep:ProjectionReading"/&gt;&lt;representation mediaType="application/sep-exi" element="sep:ProjectionReading"/&gt;&lt;/request&gt;&lt;response status="400"/&gt;&lt;response status="405"/&gt;&lt;/method&gt;</v>
      </c>
      <c r="F88" s="1" t="str">
        <f>"&lt;method id="""&amp;Controls!G$1&amp;Controls!$B88&amp;""" name="""&amp;Controls!G$1&amp;""" wx:mode="""&amp;Controls!G88&amp;"""&gt;"&amp;IF(Controls!G88="E","&lt;response status=""400""/&gt;&lt;response status=""405""/&gt;","&lt;response&gt;&lt;representation mediaType=""application/xml"" element=""sep:"&amp;Controls!$V88&amp;"""/&gt;&lt;/response&gt;")&amp;"&lt;/method&gt;"</f>
        <v>&lt;method id="DELETEProjectionReading" name="DELETE" wx:mode="D"&gt;&lt;response&gt;&lt;representation mediaType="application/xml" element="sep:ProjectionReading"/&gt;&lt;/response&gt;&lt;/method&gt;</v>
      </c>
      <c r="G88" s="1" t="str">
        <f ca="1">IF(ISBLANK(Controls!B88),"",OFFSET(Var!B$11,Controls!O88,0)&amp;"&lt;/resource&gt;")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88" s="6" t="str">
        <f>IF(Controls!K88,"&lt;request&gt;&lt;param name=""s"" style=""query"" type=""xsd:int""&gt;&lt;doc&gt;start&lt;/doc&gt;&lt;/param&gt;"&amp;IF(Controls!L88,"&lt;param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89" spans="1:9" ht="49.5" customHeight="1">
      <c r="A89" s="1" t="str">
        <f>"&lt;resource id="""&amp;Controls!B89&amp;""" "&amp;IF(0,"path=""{"&amp;Controls!B89&amp;"Path}""","")&amp;" wx:samplePath="""&amp;Controls!C89&amp;"""&gt;&lt;doc title="""&amp;Controls!$B89&amp;"""&gt;"&amp;Controls!P89&amp;"&lt;/doc&gt;"</f>
        <v>&lt;resource id="BillingReadingSetList"  wx:samplePath="/brs"&gt;&lt;doc title="BillingReadingSetList"&gt;A list of billing reading sets&lt;/doc&gt;</v>
      </c>
      <c r="B89" s="1" t="str">
        <f>"&lt;method id="""&amp;Controls!D$1&amp;Controls!$B89&amp;""" name="""&amp;Controls!D$1&amp;""" wx:mode="""&amp;Controls!D89&amp;"""&gt;"&amp;IF(Controls!D89="E","&lt;response status=""400""/&gt;&lt;response status=""405""/&gt;",I89&amp;"&lt;response&gt;&lt;representation mediaType="""&amp;Var!$B$18&amp;""" element=""sep:"&amp;Controls!$W89&amp;"""/&gt;&lt;representation mediaType="""&amp;Var!$B$19&amp;""" element=""sep:"&amp;Controls!$W89&amp;"""/&gt;&lt;/response&gt;")&amp;"&lt;/method&gt;"</f>
        <v>&lt;method id="GETBillingReadingSetList"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element="sep:BillingReadingSetList"/&gt;&lt;representation mediaType="application/sep-exi" element="sep:BillingReadingSetList"/&gt;&lt;/response&gt;&lt;/method&gt;</v>
      </c>
      <c r="C89" s="1" t="str">
        <f>"&lt;method id=""HEAD"&amp;Controls!$B89&amp;""" name=""HEAD"" wx:mode="""&amp;Controls!D89&amp;"""/&gt;"</f>
        <v>&lt;method id="HEADBillingReadingSetList" name="HEAD" wx:mode="M"/&gt;</v>
      </c>
      <c r="D89" s="1" t="str">
        <f>"&lt;method id="""&amp;Controls!E$1&amp;Controls!$B89&amp;""" name="""&amp;Controls!E$1&amp;""" wx:mode="""&amp;Controls!E89&amp;"""&gt;&lt;request&gt;&lt;representation mediaType="""&amp;Var!$B$18&amp;""" element=""sep:"&amp;Controls!$V89&amp;"""/&gt;&lt;representation mediaType="""&amp;Var!$B$19&amp;""" element=""sep:"&amp;Controls!$V89&amp;"""/&gt;&lt;/request&gt;"&amp;IF(Controls!E89="E","&lt;response status=""400""/&gt;&lt;response status=""405""/&gt;","")&amp;"&lt;/method&gt;"</f>
        <v>&lt;method id="PUTBillingReadingSetList" name="PUT" wx:mode="E"&gt;&lt;request&gt;&lt;representation mediaType="application/sep+xml" element="sep:BillingReadingSet"/&gt;&lt;representation mediaType="application/sep-exi" element="sep:BillingReadingSet"/&gt;&lt;/request&gt;&lt;response status="400"/&gt;&lt;response status="405"/&gt;&lt;/method&gt;</v>
      </c>
      <c r="E89" s="1" t="str">
        <f>"&lt;method id="""&amp;Controls!F$1&amp;Controls!$B89&amp;""" name="""&amp;Controls!F$1&amp;""" wx:mode="""&amp;Controls!F89&amp;"""&gt;"&amp;IF(Controls!B89="MirrorUsagePoint",Var!$B$21,"&lt;request&gt;&lt;representation mediaType="""&amp;Var!$B$18&amp;""" element=""sep:"&amp;Controls!$V89&amp;"""/&gt;&lt;representation mediaType="""&amp;Var!$B$19&amp;""" element=""sep:"&amp;Controls!$V89&amp;"""/&gt;&lt;/request&gt;")&amp;IF(Controls!F89="E","&lt;response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id="POSTBillingReadingSetList" name="POST" wx:mode="D"&gt;&lt;request&gt;&lt;representation mediaType="application/sep+xml" element="sep:BillingReadingSet"/&gt;&lt;representation mediaType="application/sep-exi" element="sep:BillingReadingSet"/&gt;&lt;/request&gt;&lt;response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89" s="1" t="str">
        <f>"&lt;method id="""&amp;Controls!G$1&amp;Controls!$B89&amp;""" name="""&amp;Controls!G$1&amp;""" wx:mode="""&amp;Controls!G89&amp;"""&gt;"&amp;IF(Controls!G89="E","&lt;response status=""400""/&gt;&lt;response status=""405""/&gt;","&lt;response&gt;&lt;representation mediaType=""application/xml"" element=""sep:"&amp;Controls!$V89&amp;"""/&gt;&lt;/response&gt;")&amp;"&lt;/method&gt;"</f>
        <v>&lt;method id="DELETEBillingReadingSetList" name="DELETE" wx:mode="E"&gt;&lt;response status="400"/&gt;&lt;response status="405"/&gt;&lt;/method&gt;</v>
      </c>
      <c r="G89" s="1" t="str">
        <f ca="1">IF(ISBLANK(Controls!B89),"",OFFSET(Var!B$11,Controls!O89,0)&amp;"&lt;/resource&gt;")</f>
        <v>&lt;/resource&gt;</v>
      </c>
      <c r="I89" s="6" t="str">
        <f>IF(Controls!K89,"&lt;request&gt;&lt;param name=""s"" style=""query"" type=""xsd:int""&gt;&lt;doc&gt;start&lt;/doc&gt;&lt;/param&gt;"&amp;IF(Controls!L89,"&lt;param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90" spans="1:9" ht="49.5" customHeight="1">
      <c r="A90" s="1" t="str">
        <f>"&lt;resource id="""&amp;Controls!B90&amp;""" "&amp;IF(0,"path=""{"&amp;Controls!B90&amp;"Path}""","")&amp;" wx:samplePath="""&amp;Controls!C90&amp;"""&gt;&lt;doc title="""&amp;Controls!$B90&amp;"""&gt;"&amp;Controls!P90&amp;"&lt;/doc&gt;"</f>
        <v>&lt;resource id="BillingReadingSet"  wx:samplePath="/brs/{id1}"&gt;&lt;doc title="BillingReadingSet"&gt;A specific billing reading set&lt;/doc&gt;</v>
      </c>
      <c r="B90" s="1" t="str">
        <f>"&lt;method id="""&amp;Controls!D$1&amp;Controls!$B90&amp;""" name="""&amp;Controls!D$1&amp;""" wx:mode="""&amp;Controls!D90&amp;"""&gt;"&amp;IF(Controls!D90="E","&lt;response status=""400""/&gt;&lt;response status=""405""/&gt;",I90&amp;"&lt;response&gt;&lt;representation mediaType="""&amp;Var!$B$18&amp;""" element=""sep:"&amp;Controls!$W90&amp;"""/&gt;&lt;representation mediaType="""&amp;Var!$B$19&amp;""" element=""sep:"&amp;Controls!$W90&amp;"""/&gt;&lt;/response&gt;")&amp;"&lt;/method&gt;"</f>
        <v>&lt;method id="GETBillingReadingSet" name="GET" wx:mode="M"&gt;&lt;response&gt;&lt;representation mediaType="application/sep+xml" element="sep:BillingReadingSet"/&gt;&lt;representation mediaType="application/sep-exi" element="sep:BillingReadingSet"/&gt;&lt;/response&gt;&lt;/method&gt;</v>
      </c>
      <c r="C90" s="1" t="str">
        <f>"&lt;method id=""HEAD"&amp;Controls!$B90&amp;""" name=""HEAD"" wx:mode="""&amp;Controls!D90&amp;"""/&gt;"</f>
        <v>&lt;method id="HEADBillingReadingSet" name="HEAD" wx:mode="M"/&gt;</v>
      </c>
      <c r="D90" s="1" t="str">
        <f>"&lt;method id="""&amp;Controls!E$1&amp;Controls!$B90&amp;""" name="""&amp;Controls!E$1&amp;""" wx:mode="""&amp;Controls!E90&amp;"""&gt;&lt;request&gt;&lt;representation mediaType="""&amp;Var!$B$18&amp;""" element=""sep:"&amp;Controls!$V90&amp;"""/&gt;&lt;representation mediaType="""&amp;Var!$B$19&amp;""" element=""sep:"&amp;Controls!$V90&amp;"""/&gt;&lt;/request&gt;"&amp;IF(Controls!E90="E","&lt;response status=""400""/&gt;&lt;response status=""405""/&gt;","")&amp;"&lt;/method&gt;"</f>
        <v>&lt;method id="PUTBillingReadingSet" name="PUT" wx:mode="E"&gt;&lt;request&gt;&lt;representation mediaType="application/sep+xml" element="sep:BillingReadingSet"/&gt;&lt;representation mediaType="application/sep-exi" element="sep:BillingReadingSet"/&gt;&lt;/request&gt;&lt;response status="400"/&gt;&lt;response status="405"/&gt;&lt;/method&gt;</v>
      </c>
      <c r="E90" s="1" t="str">
        <f>"&lt;method id="""&amp;Controls!F$1&amp;Controls!$B90&amp;""" name="""&amp;Controls!F$1&amp;""" wx:mode="""&amp;Controls!F90&amp;"""&gt;"&amp;IF(Controls!B90="MirrorUsagePoint",Var!$B$21,"&lt;request&gt;&lt;representation mediaType="""&amp;Var!$B$18&amp;""" element=""sep:"&amp;Controls!$V90&amp;"""/&gt;&lt;representation mediaType="""&amp;Var!$B$19&amp;""" element=""sep:"&amp;Controls!$V90&amp;"""/&gt;&lt;/request&gt;")&amp;IF(Controls!F90="E","&lt;response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id="POSTBillingReadingSet" name="POST" wx:mode="E"&gt;&lt;request&gt;&lt;representation mediaType="application/sep+xml" element="sep:BillingReadingSet"/&gt;&lt;representation mediaType="application/sep-exi" element="sep:BillingReadingSet"/&gt;&lt;/request&gt;&lt;response status="400"/&gt;&lt;response status="405"/&gt;&lt;/method&gt;</v>
      </c>
      <c r="F90" s="1" t="str">
        <f>"&lt;method id="""&amp;Controls!G$1&amp;Controls!$B90&amp;""" name="""&amp;Controls!G$1&amp;""" wx:mode="""&amp;Controls!G90&amp;"""&gt;"&amp;IF(Controls!G90="E","&lt;response status=""400""/&gt;&lt;response status=""405""/&gt;","&lt;response&gt;&lt;representation mediaType=""application/xml"" element=""sep:"&amp;Controls!$V90&amp;"""/&gt;&lt;/response&gt;")&amp;"&lt;/method&gt;"</f>
        <v>&lt;method id="DELETEBillingReadingSet" name="DELETE" wx:mode="D"&gt;&lt;response&gt;&lt;representation mediaType="application/xml" element="sep:BillingReadingSet"/&gt;&lt;/response&gt;&lt;/method&gt;</v>
      </c>
      <c r="G90" s="1" t="str">
        <f ca="1">IF(ISBLANK(Controls!B90),"",OFFSET(Var!B$11,Controls!O90,0)&amp;"&lt;/resource&gt;")</f>
        <v>&lt;wx:sampleParam name="id1" style="template" type="idType"/&gt;&lt;/resource&gt;</v>
      </c>
      <c r="I90" s="6" t="str">
        <f>IF(Controls!K90,"&lt;request&gt;&lt;param name=""s"" style=""query"" type=""xsd:int""&gt;&lt;doc&gt;start&lt;/doc&gt;&lt;/param&gt;"&amp;IF(Controls!L90,"&lt;param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91" spans="1:9" ht="49.5" customHeight="1">
      <c r="A91" s="1" t="str">
        <f>"&lt;resource id="""&amp;Controls!B91&amp;""" "&amp;IF(0,"path=""{"&amp;Controls!B91&amp;"Path}""","")&amp;" wx:samplePath="""&amp;Controls!C91&amp;"""&gt;&lt;doc title="""&amp;Controls!$B91&amp;"""&gt;"&amp;Controls!P91&amp;"&lt;/doc&gt;"</f>
        <v>&lt;resource id="BillingReadingList"  wx:samplePath="/brs/{id1}/br"&gt;&lt;doc title="BillingReadingList"&gt;A list of billing readings&lt;/doc&gt;</v>
      </c>
      <c r="B91" s="1" t="str">
        <f>"&lt;method id="""&amp;Controls!D$1&amp;Controls!$B91&amp;""" name="""&amp;Controls!D$1&amp;""" wx:mode="""&amp;Controls!D91&amp;"""&gt;"&amp;IF(Controls!D91="E","&lt;response status=""400""/&gt;&lt;response status=""405""/&gt;",I91&amp;"&lt;response&gt;&lt;representation mediaType="""&amp;Var!$B$18&amp;""" element=""sep:"&amp;Controls!$W91&amp;"""/&gt;&lt;representation mediaType="""&amp;Var!$B$19&amp;""" element=""sep:"&amp;Controls!$W91&amp;"""/&gt;&lt;/response&gt;")&amp;"&lt;/method&gt;"</f>
        <v>&lt;method id="GETBillingReadingList"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element="sep:BillingReadingList"/&gt;&lt;representation mediaType="application/sep-exi" element="sep:BillingReadingList"/&gt;&lt;/response&gt;&lt;/method&gt;</v>
      </c>
      <c r="C91" s="1" t="str">
        <f>"&lt;method id=""HEAD"&amp;Controls!$B91&amp;""" name=""HEAD"" wx:mode="""&amp;Controls!D91&amp;"""/&gt;"</f>
        <v>&lt;method id="HEADBillingReadingList" name="HEAD" wx:mode="M"/&gt;</v>
      </c>
      <c r="D91" s="1" t="str">
        <f>"&lt;method id="""&amp;Controls!E$1&amp;Controls!$B91&amp;""" name="""&amp;Controls!E$1&amp;""" wx:mode="""&amp;Controls!E91&amp;"""&gt;&lt;request&gt;&lt;representation mediaType="""&amp;Var!$B$18&amp;""" element=""sep:"&amp;Controls!$V91&amp;"""/&gt;&lt;representation mediaType="""&amp;Var!$B$19&amp;""" element=""sep:"&amp;Controls!$V91&amp;"""/&gt;&lt;/request&gt;"&amp;IF(Controls!E91="E","&lt;response status=""400""/&gt;&lt;response status=""405""/&gt;","")&amp;"&lt;/method&gt;"</f>
        <v>&lt;method id="PUTBillingReadingList" name="PUT" wx:mode="E"&gt;&lt;request&gt;&lt;representation mediaType="application/sep+xml" element="sep:BillingReading"/&gt;&lt;representation mediaType="application/sep-exi" element="sep:BillingReading"/&gt;&lt;/request&gt;&lt;response status="400"/&gt;&lt;response status="405"/&gt;&lt;/method&gt;</v>
      </c>
      <c r="E91" s="1" t="str">
        <f>"&lt;method id="""&amp;Controls!F$1&amp;Controls!$B91&amp;""" name="""&amp;Controls!F$1&amp;""" wx:mode="""&amp;Controls!F91&amp;"""&gt;"&amp;IF(Controls!B91="MirrorUsagePoint",Var!$B$21,"&lt;request&gt;&lt;representation mediaType="""&amp;Var!$B$18&amp;""" element=""sep:"&amp;Controls!$V91&amp;"""/&gt;&lt;representation mediaType="""&amp;Var!$B$19&amp;""" element=""sep:"&amp;Controls!$V91&amp;"""/&gt;&lt;/request&gt;")&amp;IF(Controls!F91="E","&lt;response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id="POSTBillingReadingList" name="POST" wx:mode="D"&gt;&lt;request&gt;&lt;representation mediaType="application/sep+xml" element="sep:BillingReading"/&gt;&lt;representation mediaType="application/sep-exi" element="sep:BillingReading"/&gt;&lt;/request&gt;&lt;response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91" s="1" t="str">
        <f>"&lt;method id="""&amp;Controls!G$1&amp;Controls!$B91&amp;""" name="""&amp;Controls!G$1&amp;""" wx:mode="""&amp;Controls!G91&amp;"""&gt;"&amp;IF(Controls!G91="E","&lt;response status=""400""/&gt;&lt;response status=""405""/&gt;","&lt;response&gt;&lt;representation mediaType=""application/xml"" element=""sep:"&amp;Controls!$V91&amp;"""/&gt;&lt;/response&gt;")&amp;"&lt;/method&gt;"</f>
        <v>&lt;method id="DELETEBillingReadingList" name="DELETE" wx:mode="E"&gt;&lt;response status="400"/&gt;&lt;response status="405"/&gt;&lt;/method&gt;</v>
      </c>
      <c r="G91" s="1" t="str">
        <f ca="1">IF(ISBLANK(Controls!B91),"",OFFSET(Var!B$11,Controls!O91,0)&amp;"&lt;/resource&gt;")</f>
        <v>&lt;wx:sampleParam name="id1" style="template" type="idType"/&gt;&lt;/resource&gt;</v>
      </c>
      <c r="I91" s="6" t="str">
        <f>IF(Controls!K91,"&lt;request&gt;&lt;param name=""s"" style=""query"" type=""xsd:int""&gt;&lt;doc&gt;start&lt;/doc&gt;&lt;/param&gt;"&amp;IF(Controls!L91,"&lt;param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92" spans="1:9" ht="49.5" customHeight="1">
      <c r="A92" s="1" t="str">
        <f>"&lt;resource id="""&amp;Controls!B92&amp;""" "&amp;IF(0,"path=""{"&amp;Controls!B92&amp;"Path}""","")&amp;" wx:samplePath="""&amp;Controls!C92&amp;"""&gt;&lt;doc title="""&amp;Controls!$B92&amp;"""&gt;"&amp;Controls!P92&amp;"&lt;/doc&gt;"</f>
        <v>&lt;resource id="BillingReading"  wx:samplePath="/brs/{id1}/br/{id2}"&gt;&lt;doc title="BillingReading"&gt;A specific billing reading&lt;/doc&gt;</v>
      </c>
      <c r="B92" s="1" t="str">
        <f>"&lt;method id="""&amp;Controls!D$1&amp;Controls!$B92&amp;""" name="""&amp;Controls!D$1&amp;""" wx:mode="""&amp;Controls!D92&amp;"""&gt;"&amp;IF(Controls!D92="E","&lt;response status=""400""/&gt;&lt;response status=""405""/&gt;",I92&amp;"&lt;response&gt;&lt;representation mediaType="""&amp;Var!$B$18&amp;""" element=""sep:"&amp;Controls!$W92&amp;"""/&gt;&lt;representation mediaType="""&amp;Var!$B$19&amp;""" element=""sep:"&amp;Controls!$W92&amp;"""/&gt;&lt;/response&gt;")&amp;"&lt;/method&gt;"</f>
        <v>&lt;method id="GETBillingReading" name="GET" wx:mode="M"&gt;&lt;response&gt;&lt;representation mediaType="application/sep+xml" element="sep:BillingReading"/&gt;&lt;representation mediaType="application/sep-exi" element="sep:BillingReading"/&gt;&lt;/response&gt;&lt;/method&gt;</v>
      </c>
      <c r="C92" s="1" t="str">
        <f>"&lt;method id=""HEAD"&amp;Controls!$B92&amp;""" name=""HEAD"" wx:mode="""&amp;Controls!D92&amp;"""/&gt;"</f>
        <v>&lt;method id="HEADBillingReading" name="HEAD" wx:mode="M"/&gt;</v>
      </c>
      <c r="D92" s="1" t="str">
        <f>"&lt;method id="""&amp;Controls!E$1&amp;Controls!$B92&amp;""" name="""&amp;Controls!E$1&amp;""" wx:mode="""&amp;Controls!E92&amp;"""&gt;&lt;request&gt;&lt;representation mediaType="""&amp;Var!$B$18&amp;""" element=""sep:"&amp;Controls!$V92&amp;"""/&gt;&lt;representation mediaType="""&amp;Var!$B$19&amp;""" element=""sep:"&amp;Controls!$V92&amp;"""/&gt;&lt;/request&gt;"&amp;IF(Controls!E92="E","&lt;response status=""400""/&gt;&lt;response status=""405""/&gt;","")&amp;"&lt;/method&gt;"</f>
        <v>&lt;method id="PUTBillingReading" name="PUT" wx:mode="D"&gt;&lt;request&gt;&lt;representation mediaType="application/sep+xml" element="sep:BillingReading"/&gt;&lt;representation mediaType="application/sep-exi" element="sep:BillingReading"/&gt;&lt;/request&gt;&lt;/method&gt;</v>
      </c>
      <c r="E92" s="1" t="str">
        <f>"&lt;method id="""&amp;Controls!F$1&amp;Controls!$B92&amp;""" name="""&amp;Controls!F$1&amp;""" wx:mode="""&amp;Controls!F92&amp;"""&gt;"&amp;IF(Controls!B92="MirrorUsagePoint",Var!$B$21,"&lt;request&gt;&lt;representation mediaType="""&amp;Var!$B$18&amp;""" element=""sep:"&amp;Controls!$V92&amp;"""/&gt;&lt;representation mediaType="""&amp;Var!$B$19&amp;""" element=""sep:"&amp;Controls!$V92&amp;"""/&gt;&lt;/request&gt;")&amp;IF(Controls!F92="E","&lt;response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id="POSTBillingReading" name="POST" wx:mode="E"&gt;&lt;request&gt;&lt;representation mediaType="application/sep+xml" element="sep:BillingReading"/&gt;&lt;representation mediaType="application/sep-exi" element="sep:BillingReading"/&gt;&lt;/request&gt;&lt;response status="400"/&gt;&lt;response status="405"/&gt;&lt;/method&gt;</v>
      </c>
      <c r="F92" s="1" t="str">
        <f>"&lt;method id="""&amp;Controls!G$1&amp;Controls!$B92&amp;""" name="""&amp;Controls!G$1&amp;""" wx:mode="""&amp;Controls!G92&amp;"""&gt;"&amp;IF(Controls!G92="E","&lt;response status=""400""/&gt;&lt;response status=""405""/&gt;","&lt;response&gt;&lt;representation mediaType=""application/xml"" element=""sep:"&amp;Controls!$V92&amp;"""/&gt;&lt;/response&gt;")&amp;"&lt;/method&gt;"</f>
        <v>&lt;method id="DELETEBillingReading" name="DELETE" wx:mode="D"&gt;&lt;response&gt;&lt;representation mediaType="application/xml" element="sep:BillingReading"/&gt;&lt;/response&gt;&lt;/method&gt;</v>
      </c>
      <c r="G92" s="1" t="str">
        <f ca="1">IF(ISBLANK(Controls!B92),"",OFFSET(Var!B$11,Controls!O92,0)&amp;"&lt;/resource&gt;")</f>
        <v>&lt;wx:sampleParam name="id1" style="template" type="idType"/&gt;&lt;wx:sampleParam name="id2" style="template" type="idType"/&gt;&lt;/resource&gt;</v>
      </c>
      <c r="I92" s="6" t="str">
        <f>IF(Controls!K92,"&lt;request&gt;&lt;param name=""s"" style=""query"" type=""xsd:int""&gt;&lt;doc&gt;start&lt;/doc&gt;&lt;/param&gt;"&amp;IF(Controls!L92,"&lt;param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93" spans="1:9" ht="49.5" customHeight="1">
      <c r="A93" s="1" t="str">
        <f>"&lt;resource id="""&amp;Controls!B93&amp;""" "&amp;IF(0,"path=""{"&amp;Controls!B93&amp;"Path}""","")&amp;" wx:samplePath="""&amp;Controls!C93&amp;"""&gt;&lt;doc title="""&amp;Controls!$B93&amp;"""&gt;"&amp;Controls!P93&amp;"&lt;/doc&gt;"</f>
        <v>&lt;resource id="TargetReadingList"  wx:samplePath="/bill/{id1}/ca/{id2}/tar"&gt;&lt;doc title="TargetReadingList"&gt;A list of billing targets.&lt;/doc&gt;</v>
      </c>
      <c r="B93" s="1" t="str">
        <f>"&lt;method id="""&amp;Controls!D$1&amp;Controls!$B93&amp;""" name="""&amp;Controls!D$1&amp;""" wx:mode="""&amp;Controls!D93&amp;"""&gt;"&amp;IF(Controls!D93="E","&lt;response status=""400""/&gt;&lt;response status=""405""/&gt;",I93&amp;"&lt;response&gt;&lt;representation mediaType="""&amp;Var!$B$18&amp;""" element=""sep:"&amp;Controls!$W93&amp;"""/&gt;&lt;representation mediaType="""&amp;Var!$B$19&amp;""" element=""sep:"&amp;Controls!$W93&amp;"""/&gt;&lt;/response&gt;")&amp;"&lt;/method&gt;"</f>
        <v>&lt;method id="GETTargetReadingList"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element="sep:TargetReadingList"/&gt;&lt;representation mediaType="application/sep-exi" element="sep:TargetReadingList"/&gt;&lt;/response&gt;&lt;/method&gt;</v>
      </c>
      <c r="C93" s="1" t="str">
        <f>"&lt;method id=""HEAD"&amp;Controls!$B93&amp;""" name=""HEAD"" wx:mode="""&amp;Controls!D93&amp;"""/&gt;"</f>
        <v>&lt;method id="HEADTargetReadingList" name="HEAD" wx:mode="M"/&gt;</v>
      </c>
      <c r="D93" s="1" t="str">
        <f>"&lt;method id="""&amp;Controls!E$1&amp;Controls!$B93&amp;""" name="""&amp;Controls!E$1&amp;""" wx:mode="""&amp;Controls!E93&amp;"""&gt;&lt;request&gt;&lt;representation mediaType="""&amp;Var!$B$18&amp;""" element=""sep:"&amp;Controls!$V93&amp;"""/&gt;&lt;representation mediaType="""&amp;Var!$B$19&amp;""" element=""sep:"&amp;Controls!$V93&amp;"""/&gt;&lt;/request&gt;"&amp;IF(Controls!E93="E","&lt;response status=""400""/&gt;&lt;response status=""405""/&gt;","")&amp;"&lt;/method&gt;"</f>
        <v>&lt;method id="PUTTargetReadingList" name="PUT" wx:mode="E"&gt;&lt;request&gt;&lt;representation mediaType="application/sep+xml" element="sep:TargetReading"/&gt;&lt;representation mediaType="application/sep-exi" element="sep:TargetReading"/&gt;&lt;/request&gt;&lt;response status="400"/&gt;&lt;response status="405"/&gt;&lt;/method&gt;</v>
      </c>
      <c r="E93" s="1" t="str">
        <f>"&lt;method id="""&amp;Controls!F$1&amp;Controls!$B93&amp;""" name="""&amp;Controls!F$1&amp;""" wx:mode="""&amp;Controls!F93&amp;"""&gt;"&amp;IF(Controls!B93="MirrorUsagePoint",Var!$B$21,"&lt;request&gt;&lt;representation mediaType="""&amp;Var!$B$18&amp;""" element=""sep:"&amp;Controls!$V93&amp;"""/&gt;&lt;representation mediaType="""&amp;Var!$B$19&amp;""" element=""sep:"&amp;Controls!$V93&amp;"""/&gt;&lt;/request&gt;")&amp;IF(Controls!F93="E","&lt;response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id="POSTTargetReadingList" name="POST" wx:mode="D"&gt;&lt;request&gt;&lt;representation mediaType="application/sep+xml" element="sep:TargetReading"/&gt;&lt;representation mediaType="application/sep-exi" element="sep:TargetReading"/&gt;&lt;/request&gt;&lt;response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93" s="1" t="str">
        <f>"&lt;method id="""&amp;Controls!G$1&amp;Controls!$B93&amp;""" name="""&amp;Controls!G$1&amp;""" wx:mode="""&amp;Controls!G93&amp;"""&gt;"&amp;IF(Controls!G93="E","&lt;response status=""400""/&gt;&lt;response status=""405""/&gt;","&lt;response&gt;&lt;representation mediaType=""application/xml"" element=""sep:"&amp;Controls!$V93&amp;"""/&gt;&lt;/response&gt;")&amp;"&lt;/method&gt;"</f>
        <v>&lt;method id="DELETETargetReadingList" name="DELETE" wx:mode="E"&gt;&lt;response status="400"/&gt;&lt;response status="405"/&gt;&lt;/method&gt;</v>
      </c>
      <c r="G93" s="1" t="str">
        <f ca="1">IF(ISBLANK(Controls!B93),"",OFFSET(Var!B$11,Controls!O93,0)&amp;"&lt;/resource&gt;")</f>
        <v>&lt;wx:sampleParam name="id1" style="template" type="idType"/&gt;&lt;wx:sampleParam name="id2" style="template" type="idType"/&gt;&lt;/resource&gt;</v>
      </c>
      <c r="I93" s="6" t="str">
        <f>IF(Controls!K93,"&lt;request&gt;&lt;param name=""s"" style=""query"" type=""xsd:int""&gt;&lt;doc&gt;start&lt;/doc&gt;&lt;/param&gt;"&amp;IF(Controls!L93,"&lt;param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94" spans="1:9" ht="49.5" customHeight="1">
      <c r="A94" s="1" t="str">
        <f>"&lt;resource id="""&amp;Controls!B94&amp;""" "&amp;IF(0,"path=""{"&amp;Controls!B94&amp;"Path}""","")&amp;" wx:samplePath="""&amp;Controls!C94&amp;"""&gt;&lt;doc title="""&amp;Controls!$B94&amp;"""&gt;"&amp;Controls!P94&amp;"&lt;/doc&gt;"</f>
        <v>&lt;resource id="TargetReading"  wx:samplePath="/bill/{id1}/ca/{id2}/tar/{id3}"&gt;&lt;doc title="TargetReading"&gt;A specific target reading channel&lt;/doc&gt;</v>
      </c>
      <c r="B94" s="1" t="str">
        <f>"&lt;method id="""&amp;Controls!D$1&amp;Controls!$B94&amp;""" name="""&amp;Controls!D$1&amp;""" wx:mode="""&amp;Controls!D94&amp;"""&gt;"&amp;IF(Controls!D94="E","&lt;response status=""400""/&gt;&lt;response status=""405""/&gt;",I94&amp;"&lt;response&gt;&lt;representation mediaType="""&amp;Var!$B$18&amp;""" element=""sep:"&amp;Controls!$W94&amp;"""/&gt;&lt;representation mediaType="""&amp;Var!$B$19&amp;""" element=""sep:"&amp;Controls!$W94&amp;"""/&gt;&lt;/response&gt;")&amp;"&lt;/method&gt;"</f>
        <v>&lt;method id="GETTargetReading" name="GET" wx:mode="M"&gt;&lt;response&gt;&lt;representation mediaType="application/sep+xml" element="sep:TargetReading"/&gt;&lt;representation mediaType="application/sep-exi" element="sep:TargetReading"/&gt;&lt;/response&gt;&lt;/method&gt;</v>
      </c>
      <c r="C94" s="1" t="str">
        <f>"&lt;method id=""HEAD"&amp;Controls!$B94&amp;""" name=""HEAD"" wx:mode="""&amp;Controls!D94&amp;"""/&gt;"</f>
        <v>&lt;method id="HEADTargetReading" name="HEAD" wx:mode="M"/&gt;</v>
      </c>
      <c r="D94" s="1" t="str">
        <f>"&lt;method id="""&amp;Controls!E$1&amp;Controls!$B94&amp;""" name="""&amp;Controls!E$1&amp;""" wx:mode="""&amp;Controls!E94&amp;"""&gt;&lt;request&gt;&lt;representation mediaType="""&amp;Var!$B$18&amp;""" element=""sep:"&amp;Controls!$V94&amp;"""/&gt;&lt;representation mediaType="""&amp;Var!$B$19&amp;""" element=""sep:"&amp;Controls!$V94&amp;"""/&gt;&lt;/request&gt;"&amp;IF(Controls!E94="E","&lt;response status=""400""/&gt;&lt;response status=""405""/&gt;","")&amp;"&lt;/method&gt;"</f>
        <v>&lt;method id="PUTTargetReading" name="PUT" wx:mode="E"&gt;&lt;request&gt;&lt;representation mediaType="application/sep+xml" element="sep:TargetReading"/&gt;&lt;representation mediaType="application/sep-exi" element="sep:TargetReading"/&gt;&lt;/request&gt;&lt;response status="400"/&gt;&lt;response status="405"/&gt;&lt;/method&gt;</v>
      </c>
      <c r="E94" s="1" t="str">
        <f>"&lt;method id="""&amp;Controls!F$1&amp;Controls!$B94&amp;""" name="""&amp;Controls!F$1&amp;""" wx:mode="""&amp;Controls!F94&amp;"""&gt;"&amp;IF(Controls!B94="MirrorUsagePoint",Var!$B$21,"&lt;request&gt;&lt;representation mediaType="""&amp;Var!$B$18&amp;""" element=""sep:"&amp;Controls!$V94&amp;"""/&gt;&lt;representation mediaType="""&amp;Var!$B$19&amp;""" element=""sep:"&amp;Controls!$V94&amp;"""/&gt;&lt;/request&gt;")&amp;IF(Controls!F94="E","&lt;response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id="POSTTargetReading" name="POST" wx:mode="E"&gt;&lt;request&gt;&lt;representation mediaType="application/sep+xml" element="sep:TargetReading"/&gt;&lt;representation mediaType="application/sep-exi" element="sep:TargetReading"/&gt;&lt;/request&gt;&lt;response status="400"/&gt;&lt;response status="405"/&gt;&lt;/method&gt;</v>
      </c>
      <c r="F94" s="1" t="str">
        <f>"&lt;method id="""&amp;Controls!G$1&amp;Controls!$B94&amp;""" name="""&amp;Controls!G$1&amp;""" wx:mode="""&amp;Controls!G94&amp;"""&gt;"&amp;IF(Controls!G94="E","&lt;response status=""400""/&gt;&lt;response status=""405""/&gt;","&lt;response&gt;&lt;representation mediaType=""application/xml"" element=""sep:"&amp;Controls!$V94&amp;"""/&gt;&lt;/response&gt;")&amp;"&lt;/method&gt;"</f>
        <v>&lt;method id="DELETETargetReading" name="DELETE" wx:mode="D"&gt;&lt;response&gt;&lt;representation mediaType="application/xml" element="sep:TargetReading"/&gt;&lt;/response&gt;&lt;/method&gt;</v>
      </c>
      <c r="G94" s="1" t="str">
        <f ca="1">IF(ISBLANK(Controls!B94),"",OFFSET(Var!B$11,Controls!O94,0)&amp;"&lt;/resource&gt;")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94" s="6" t="str">
        <f>IF(Controls!K94,"&lt;request&gt;&lt;param name=""s"" style=""query"" type=""xsd:int""&gt;&lt;doc&gt;start&lt;/doc&gt;&lt;/param&gt;"&amp;IF(Controls!L94,"&lt;param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95" spans="1:9" ht="49.5" customHeight="1">
      <c r="A95" s="1" t="str">
        <f>"&lt;resource id="""&amp;Controls!B95&amp;""" "&amp;IF(0,"path=""{"&amp;Controls!B95&amp;"Path}""","")&amp;" wx:samplePath="""&amp;Controls!C95&amp;"""&gt;&lt;doc title="""&amp;Controls!$B95&amp;"""&gt;"&amp;Controls!P95&amp;"&lt;/doc&gt;"</f>
        <v>&lt;resource id="HistoricalReadingList"  wx:samplePath="/bill/{id1}/ca/{id2}/ver"&gt;&lt;doc title="HistoricalReadingList"&gt;A list of verified historical readings.&lt;/doc&gt;</v>
      </c>
      <c r="B95" s="1" t="str">
        <f>"&lt;method id="""&amp;Controls!D$1&amp;Controls!$B95&amp;""" name="""&amp;Controls!D$1&amp;""" wx:mode="""&amp;Controls!D95&amp;"""&gt;"&amp;IF(Controls!D95="E","&lt;response status=""400""/&gt;&lt;response status=""405""/&gt;",I95&amp;"&lt;response&gt;&lt;representation mediaType="""&amp;Var!$B$18&amp;""" element=""sep:"&amp;Controls!$W95&amp;"""/&gt;&lt;representation mediaType="""&amp;Var!$B$19&amp;""" element=""sep:"&amp;Controls!$W95&amp;"""/&gt;&lt;/response&gt;")&amp;"&lt;/method&gt;"</f>
        <v>&lt;method id="GETHistoricalReadingList"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element="sep:HistoricalReadingList"/&gt;&lt;representation mediaType="application/sep-exi" element="sep:HistoricalReadingList"/&gt;&lt;/response&gt;&lt;/method&gt;</v>
      </c>
      <c r="C95" s="1" t="str">
        <f>"&lt;method id=""HEAD"&amp;Controls!$B95&amp;""" name=""HEAD"" wx:mode="""&amp;Controls!D95&amp;"""/&gt;"</f>
        <v>&lt;method id="HEADHistoricalReadingList" name="HEAD" wx:mode="M"/&gt;</v>
      </c>
      <c r="D95" s="1" t="str">
        <f>"&lt;method id="""&amp;Controls!E$1&amp;Controls!$B95&amp;""" name="""&amp;Controls!E$1&amp;""" wx:mode="""&amp;Controls!E95&amp;"""&gt;&lt;request&gt;&lt;representation mediaType="""&amp;Var!$B$18&amp;""" element=""sep:"&amp;Controls!$V95&amp;"""/&gt;&lt;representation mediaType="""&amp;Var!$B$19&amp;""" element=""sep:"&amp;Controls!$V95&amp;"""/&gt;&lt;/request&gt;"&amp;IF(Controls!E95="E","&lt;response status=""400""/&gt;&lt;response status=""405""/&gt;","")&amp;"&lt;/method&gt;"</f>
        <v>&lt;method id="PUTHistoricalReadingList" name="PUT" wx:mode="E"&gt;&lt;request&gt;&lt;representation mediaType="application/sep+xml" element="sep:HistoricalReading"/&gt;&lt;representation mediaType="application/sep-exi" element="sep:HistoricalReading"/&gt;&lt;/request&gt;&lt;response status="400"/&gt;&lt;response status="405"/&gt;&lt;/method&gt;</v>
      </c>
      <c r="E95" s="1" t="str">
        <f>"&lt;method id="""&amp;Controls!F$1&amp;Controls!$B95&amp;""" name="""&amp;Controls!F$1&amp;""" wx:mode="""&amp;Controls!F95&amp;"""&gt;"&amp;IF(Controls!B95="MirrorUsagePoint",Var!$B$21,"&lt;request&gt;&lt;representation mediaType="""&amp;Var!$B$18&amp;""" element=""sep:"&amp;Controls!$V95&amp;"""/&gt;&lt;representation mediaType="""&amp;Var!$B$19&amp;""" element=""sep:"&amp;Controls!$V95&amp;"""/&gt;&lt;/request&gt;")&amp;IF(Controls!F95="E","&lt;response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id="POSTHistoricalReadingList" name="POST" wx:mode="D"&gt;&lt;request&gt;&lt;representation mediaType="application/sep+xml" element="sep:HistoricalReading"/&gt;&lt;representation mediaType="application/sep-exi" element="sep:HistoricalReading"/&gt;&lt;/request&gt;&lt;response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95" s="1" t="str">
        <f>"&lt;method id="""&amp;Controls!G$1&amp;Controls!$B95&amp;""" name="""&amp;Controls!G$1&amp;""" wx:mode="""&amp;Controls!G95&amp;"""&gt;"&amp;IF(Controls!G95="E","&lt;response status=""400""/&gt;&lt;response status=""405""/&gt;","&lt;response&gt;&lt;representation mediaType=""application/xml"" element=""sep:"&amp;Controls!$V95&amp;"""/&gt;&lt;/response&gt;")&amp;"&lt;/method&gt;"</f>
        <v>&lt;method id="DELETEHistoricalReadingList" name="DELETE" wx:mode="E"&gt;&lt;response status="400"/&gt;&lt;response status="405"/&gt;&lt;/method&gt;</v>
      </c>
      <c r="G95" s="1" t="str">
        <f ca="1">IF(ISBLANK(Controls!B95),"",OFFSET(Var!B$11,Controls!O95,0)&amp;"&lt;/resource&gt;")</f>
        <v>&lt;wx:sampleParam name="id1" style="template" type="idType"/&gt;&lt;wx:sampleParam name="id2" style="template" type="idType"/&gt;&lt;/resource&gt;</v>
      </c>
      <c r="I95" s="6" t="str">
        <f>IF(Controls!K95,"&lt;request&gt;&lt;param name=""s"" style=""query"" type=""xsd:int""&gt;&lt;doc&gt;start&lt;/doc&gt;&lt;/param&gt;"&amp;IF(Controls!L95,"&lt;param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96" spans="1:9" ht="49.5" customHeight="1">
      <c r="A96" s="1" t="str">
        <f>"&lt;resource id="""&amp;Controls!B96&amp;""" "&amp;IF(0,"path=""{"&amp;Controls!B96&amp;"Path}""","")&amp;" wx:samplePath="""&amp;Controls!C96&amp;"""&gt;&lt;doc title="""&amp;Controls!$B96&amp;"""&gt;"&amp;Controls!P96&amp;"&lt;/doc&gt;"</f>
        <v>&lt;resource id="HistoricalReading"  wx:samplePath="/bill/{id1}/ca/{id2}/ver/{id3}"&gt;&lt;doc title="HistoricalReading"&gt;A specific historical reading channel&lt;/doc&gt;</v>
      </c>
      <c r="B96" s="1" t="str">
        <f>"&lt;method id="""&amp;Controls!D$1&amp;Controls!$B96&amp;""" name="""&amp;Controls!D$1&amp;""" wx:mode="""&amp;Controls!D96&amp;"""&gt;"&amp;IF(Controls!D96="E","&lt;response status=""400""/&gt;&lt;response status=""405""/&gt;",I96&amp;"&lt;response&gt;&lt;representation mediaType="""&amp;Var!$B$18&amp;""" element=""sep:"&amp;Controls!$W96&amp;"""/&gt;&lt;representation mediaType="""&amp;Var!$B$19&amp;""" element=""sep:"&amp;Controls!$W96&amp;"""/&gt;&lt;/response&gt;")&amp;"&lt;/method&gt;"</f>
        <v>&lt;method id="GETHistoricalReading" name="GET" wx:mode="M"&gt;&lt;response&gt;&lt;representation mediaType="application/sep+xml" element="sep:HistoricalReading"/&gt;&lt;representation mediaType="application/sep-exi" element="sep:HistoricalReading"/&gt;&lt;/response&gt;&lt;/method&gt;</v>
      </c>
      <c r="C96" s="1" t="str">
        <f>"&lt;method id=""HEAD"&amp;Controls!$B96&amp;""" name=""HEAD"" wx:mode="""&amp;Controls!D96&amp;"""/&gt;"</f>
        <v>&lt;method id="HEADHistoricalReading" name="HEAD" wx:mode="M"/&gt;</v>
      </c>
      <c r="D96" s="1" t="str">
        <f>"&lt;method id="""&amp;Controls!E$1&amp;Controls!$B96&amp;""" name="""&amp;Controls!E$1&amp;""" wx:mode="""&amp;Controls!E96&amp;"""&gt;&lt;request&gt;&lt;representation mediaType="""&amp;Var!$B$18&amp;""" element=""sep:"&amp;Controls!$V96&amp;"""/&gt;&lt;representation mediaType="""&amp;Var!$B$19&amp;""" element=""sep:"&amp;Controls!$V96&amp;"""/&gt;&lt;/request&gt;"&amp;IF(Controls!E96="E","&lt;response status=""400""/&gt;&lt;response status=""405""/&gt;","")&amp;"&lt;/method&gt;"</f>
        <v>&lt;method id="PUTHistoricalReading" name="PUT" wx:mode="E"&gt;&lt;request&gt;&lt;representation mediaType="application/sep+xml" element="sep:HistoricalReading"/&gt;&lt;representation mediaType="application/sep-exi" element="sep:HistoricalReading"/&gt;&lt;/request&gt;&lt;response status="400"/&gt;&lt;response status="405"/&gt;&lt;/method&gt;</v>
      </c>
      <c r="E96" s="1" t="str">
        <f>"&lt;method id="""&amp;Controls!F$1&amp;Controls!$B96&amp;""" name="""&amp;Controls!F$1&amp;""" wx:mode="""&amp;Controls!F96&amp;"""&gt;"&amp;IF(Controls!B96="MirrorUsagePoint",Var!$B$21,"&lt;request&gt;&lt;representation mediaType="""&amp;Var!$B$18&amp;""" element=""sep:"&amp;Controls!$V96&amp;"""/&gt;&lt;representation mediaType="""&amp;Var!$B$19&amp;""" element=""sep:"&amp;Controls!$V96&amp;"""/&gt;&lt;/request&gt;")&amp;IF(Controls!F96="E","&lt;response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id="POSTHistoricalReading" name="POST" wx:mode="E"&gt;&lt;request&gt;&lt;representation mediaType="application/sep+xml" element="sep:HistoricalReading"/&gt;&lt;representation mediaType="application/sep-exi" element="sep:HistoricalReading"/&gt;&lt;/request&gt;&lt;response status="400"/&gt;&lt;response status="405"/&gt;&lt;/method&gt;</v>
      </c>
      <c r="F96" s="1" t="str">
        <f>"&lt;method id="""&amp;Controls!G$1&amp;Controls!$B96&amp;""" name="""&amp;Controls!G$1&amp;""" wx:mode="""&amp;Controls!G96&amp;"""&gt;"&amp;IF(Controls!G96="E","&lt;response status=""400""/&gt;&lt;response status=""405""/&gt;","&lt;response&gt;&lt;representation mediaType=""application/xml"" element=""sep:"&amp;Controls!$V96&amp;"""/&gt;&lt;/response&gt;")&amp;"&lt;/method&gt;"</f>
        <v>&lt;method id="DELETEHistoricalReading" name="DELETE" wx:mode="D"&gt;&lt;response&gt;&lt;representation mediaType="application/xml" element="sep:HistoricalReading"/&gt;&lt;/response&gt;&lt;/method&gt;</v>
      </c>
      <c r="G96" s="1" t="str">
        <f ca="1">IF(ISBLANK(Controls!B96),"",OFFSET(Var!B$11,Controls!O96,0)&amp;"&lt;/resource&gt;")</f>
        <v>&lt;wx:sampleParam name="id1" style="template" type="idType"/&gt;&lt;wx:sampleParam name="id2" style="template" type="idType"/&gt;&lt;wx:sampleParam name="id3" style="template" type="idType"/&gt;&lt;/resource&gt;</v>
      </c>
      <c r="I96" s="6" t="str">
        <f>IF(Controls!K96,"&lt;request&gt;&lt;param name=""s"" style=""query"" type=""xsd:int""&gt;&lt;doc&gt;start&lt;/doc&gt;&lt;/param&gt;"&amp;IF(Controls!L96,"&lt;param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97" spans="1:9" ht="48" customHeight="1">
      <c r="A97" s="1" t="str">
        <f>"&lt;resource id="""&amp;Controls!B97&amp;""" "&amp;IF(0,"path=""{"&amp;Controls!B97&amp;"Path}""","")&amp;" wx:samplePath="""&amp;Controls!C97&amp;"""&gt;&lt;doc title="""&amp;Controls!$B97&amp;"""&gt;"&amp;Controls!P97&amp;"&lt;/doc&gt;"</f>
        <v>&lt;resource id="ServiceSupplier"  wx:samplePath="/bill/{id1}/ss"&gt;&lt;doc title="ServiceSupplier"&gt;A specific service supplier&lt;/doc&gt;</v>
      </c>
      <c r="B97" s="1" t="str">
        <f>"&lt;method id="""&amp;Controls!D$1&amp;Controls!$B97&amp;""" name="""&amp;Controls!D$1&amp;""" wx:mode="""&amp;Controls!D97&amp;"""&gt;"&amp;IF(Controls!D97="E","&lt;response status=""400""/&gt;&lt;response status=""405""/&gt;",I97&amp;"&lt;response&gt;&lt;representation mediaType="""&amp;Var!$B$18&amp;""" element=""sep:"&amp;Controls!$W97&amp;"""/&gt;&lt;representation mediaType="""&amp;Var!$B$19&amp;""" element=""sep:"&amp;Controls!$W97&amp;"""/&gt;&lt;/response&gt;")&amp;"&lt;/method&gt;"</f>
        <v>&lt;method id="GETServiceSupplier" name="GET" wx:mode="M"&gt;&lt;response&gt;&lt;representation mediaType="application/sep+xml" element="sep:ServiceSupplier"/&gt;&lt;representation mediaType="application/sep-exi" element="sep:ServiceSupplier"/&gt;&lt;/response&gt;&lt;/method&gt;</v>
      </c>
      <c r="C97" s="1" t="str">
        <f>"&lt;method id=""HEAD"&amp;Controls!$B97&amp;""" name=""HEAD"" wx:mode="""&amp;Controls!D97&amp;"""/&gt;"</f>
        <v>&lt;method id="HEADServiceSupplier" name="HEAD" wx:mode="M"/&gt;</v>
      </c>
      <c r="D97" s="1" t="str">
        <f>"&lt;method id="""&amp;Controls!E$1&amp;Controls!$B97&amp;""" name="""&amp;Controls!E$1&amp;""" wx:mode="""&amp;Controls!E97&amp;"""&gt;&lt;request&gt;&lt;representation mediaType="""&amp;Var!$B$18&amp;""" element=""sep:"&amp;Controls!$V97&amp;"""/&gt;&lt;representation mediaType="""&amp;Var!$B$19&amp;""" element=""sep:"&amp;Controls!$V97&amp;"""/&gt;&lt;/request&gt;"&amp;IF(Controls!E97="E","&lt;response status=""400""/&gt;&lt;response status=""405""/&gt;","")&amp;"&lt;/method&gt;"</f>
        <v>&lt;method id="PUTServiceSupplier" name="PUT" wx:mode="E"&gt;&lt;request&gt;&lt;representation mediaType="application/sep+xml" element="sep:ServiceSupplier"/&gt;&lt;representation mediaType="application/sep-exi" element="sep:ServiceSupplier"/&gt;&lt;/request&gt;&lt;response status="400"/&gt;&lt;response status="405"/&gt;&lt;/method&gt;</v>
      </c>
      <c r="E97" s="1" t="str">
        <f>"&lt;method id="""&amp;Controls!F$1&amp;Controls!$B97&amp;""" name="""&amp;Controls!F$1&amp;""" wx:mode="""&amp;Controls!F97&amp;"""&gt;"&amp;IF(Controls!B97="MirrorUsagePoint",Var!$B$21,"&lt;request&gt;&lt;representation mediaType="""&amp;Var!$B$18&amp;""" element=""sep:"&amp;Controls!$V97&amp;"""/&gt;&lt;representation mediaType="""&amp;Var!$B$19&amp;""" element=""sep:"&amp;Controls!$V97&amp;"""/&gt;&lt;/request&gt;")&amp;IF(Controls!F97="E","&lt;response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id="POSTServiceSupplier" name="POST" wx:mode="E"&gt;&lt;request&gt;&lt;representation mediaType="application/sep+xml" element="sep:ServiceSupplier"/&gt;&lt;representation mediaType="application/sep-exi" element="sep:ServiceSupplier"/&gt;&lt;/request&gt;&lt;response status="400"/&gt;&lt;response status="405"/&gt;&lt;/method&gt;</v>
      </c>
      <c r="F97" s="1" t="str">
        <f>"&lt;method id="""&amp;Controls!G$1&amp;Controls!$B97&amp;""" name="""&amp;Controls!G$1&amp;""" wx:mode="""&amp;Controls!G97&amp;"""&gt;"&amp;IF(Controls!G97="E","&lt;response status=""400""/&gt;&lt;response status=""405""/&gt;","&lt;response&gt;&lt;representation mediaType=""application/xml"" element=""sep:"&amp;Controls!$V97&amp;"""/&gt;&lt;/response&gt;")&amp;"&lt;/method&gt;"</f>
        <v>&lt;method id="DELETEServiceSupplier" name="DELETE" wx:mode="D"&gt;&lt;response&gt;&lt;representation mediaType="application/xml" element="sep:ServiceSupplier"/&gt;&lt;/response&gt;&lt;/method&gt;</v>
      </c>
      <c r="G97" s="1" t="str">
        <f ca="1">IF(ISBLANK(Controls!B97),"",OFFSET(Var!B$11,Controls!O97,0)&amp;"&lt;/resource&gt;")</f>
        <v>&lt;wx:sampleParam name="id1" style="template" type="idType"/&gt;&lt;/resource&gt;</v>
      </c>
      <c r="I97" s="6" t="str">
        <f>IF(Controls!K97,"&lt;request&gt;&lt;param name=""s"" style=""query"" type=""xsd:int""&gt;&lt;doc&gt;start&lt;/doc&gt;&lt;/param&gt;"&amp;IF(Controls!L97,"&lt;param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98" spans="1:9" ht="47.25" customHeight="1">
      <c r="A98" s="1" t="str">
        <f>"&lt;resource id="""&amp;Controls!B98&amp;""" "&amp;IF(0,"path=""{"&amp;Controls!B98&amp;"Path}""","")&amp;" wx:samplePath="""&amp;Controls!C98&amp;"""&gt;&lt;doc title="""&amp;Controls!$B98&amp;"""&gt;"&amp;Controls!P98&amp;"&lt;/doc&gt;"</f>
        <v>&lt;resource id="PrepaymentList"  wx:samplePath="/ppy"&gt;&lt;doc title="PrepaymentList"&gt;A List of Prepayment instances.&lt;/doc&gt;</v>
      </c>
      <c r="B98" s="1" t="str">
        <f>"&lt;method id="""&amp;Controls!D$1&amp;Controls!$B98&amp;""" name="""&amp;Controls!D$1&amp;""" wx:mode="""&amp;Controls!D98&amp;"""&gt;"&amp;IF(Controls!D98="E","&lt;response status=""400""/&gt;&lt;response status=""405""/&gt;",I98&amp;"&lt;response&gt;&lt;representation mediaType="""&amp;Var!$B$18&amp;""" element=""sep:"&amp;Controls!$W98&amp;"""/&gt;&lt;representation mediaType="""&amp;Var!$B$19&amp;""" element=""sep:"&amp;Controls!$W98&amp;"""/&gt;&lt;/response&gt;")&amp;"&lt;/method&gt;"</f>
        <v>&lt;method id="GETPrepaymentList"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element="sep:PrepaymentList"/&gt;&lt;representation mediaType="application/sep-exi" element="sep:PrepaymentList"/&gt;&lt;/response&gt;&lt;/method&gt;</v>
      </c>
      <c r="C98" s="1" t="str">
        <f>"&lt;method id=""HEAD"&amp;Controls!$B98&amp;""" name=""HEAD"" wx:mode="""&amp;Controls!D98&amp;"""/&gt;"</f>
        <v>&lt;method id="HEADPrepaymentList" name="HEAD" wx:mode="M"/&gt;</v>
      </c>
      <c r="D98" s="1" t="str">
        <f>"&lt;method id="""&amp;Controls!E$1&amp;Controls!$B98&amp;""" name="""&amp;Controls!E$1&amp;""" wx:mode="""&amp;Controls!E98&amp;"""&gt;&lt;request&gt;&lt;representation mediaType="""&amp;Var!$B$18&amp;""" element=""sep:"&amp;Controls!$V98&amp;"""/&gt;&lt;representation mediaType="""&amp;Var!$B$19&amp;""" element=""sep:"&amp;Controls!$V98&amp;"""/&gt;&lt;/request&gt;"&amp;IF(Controls!E98="E","&lt;response status=""400""/&gt;&lt;response status=""405""/&gt;","")&amp;"&lt;/method&gt;"</f>
        <v>&lt;method id="PUTPrepaymentList" name="PUT" wx:mode="E"&gt;&lt;request&gt;&lt;representation mediaType="application/sep+xml" element="sep:Prepayment"/&gt;&lt;representation mediaType="application/sep-exi" element="sep:Prepayment"/&gt;&lt;/request&gt;&lt;response status="400"/&gt;&lt;response status="405"/&gt;&lt;/method&gt;</v>
      </c>
      <c r="E98" s="1" t="str">
        <f>"&lt;method id="""&amp;Controls!F$1&amp;Controls!$B98&amp;""" name="""&amp;Controls!F$1&amp;""" wx:mode="""&amp;Controls!F98&amp;"""&gt;"&amp;IF(Controls!B98="MirrorUsagePoint",Var!$B$21,"&lt;request&gt;&lt;representation mediaType="""&amp;Var!$B$18&amp;""" element=""sep:"&amp;Controls!$V98&amp;"""/&gt;&lt;representation mediaType="""&amp;Var!$B$19&amp;""" element=""sep:"&amp;Controls!$V98&amp;"""/&gt;&lt;/request&gt;")&amp;IF(Controls!F98="E","&lt;response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id="POSTPrepaymentList" name="POST" wx:mode="D"&gt;&lt;request&gt;&lt;representation mediaType="application/sep+xml" element="sep:Prepayment"/&gt;&lt;representation mediaType="application/sep-exi" element="sep:Prepayment"/&gt;&lt;/request&gt;&lt;response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98" s="1" t="str">
        <f>"&lt;method id="""&amp;Controls!G$1&amp;Controls!$B98&amp;""" name="""&amp;Controls!G$1&amp;""" wx:mode="""&amp;Controls!G98&amp;"""&gt;"&amp;IF(Controls!G98="E","&lt;response status=""400""/&gt;&lt;response status=""405""/&gt;","&lt;response&gt;&lt;representation mediaType=""application/xml"" element=""sep:"&amp;Controls!$V98&amp;"""/&gt;&lt;/response&gt;")&amp;"&lt;/method&gt;"</f>
        <v>&lt;method id="DELETEPrepaymentList" name="DELETE" wx:mode="E"&gt;&lt;response status="400"/&gt;&lt;response status="405"/&gt;&lt;/method&gt;</v>
      </c>
      <c r="G98" s="1" t="str">
        <f ca="1">IF(ISBLANK(Controls!B98),"",OFFSET(Var!B$11,Controls!O98,0)&amp;"&lt;/resource&gt;")</f>
        <v>&lt;/resource&gt;</v>
      </c>
      <c r="I98" s="6" t="str">
        <f>IF(Controls!K98,"&lt;request&gt;&lt;param name=""s"" style=""query"" type=""xsd:int""&gt;&lt;doc&gt;start&lt;/doc&gt;&lt;/param&gt;"&amp;IF(Controls!L98,"&lt;param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99" spans="1:9" ht="47.25" customHeight="1">
      <c r="A99" s="1" t="str">
        <f>"&lt;resource id="""&amp;Controls!B99&amp;""" "&amp;IF(0,"path=""{"&amp;Controls!B99&amp;"Path}""","")&amp;" wx:samplePath="""&amp;Controls!C99&amp;"""&gt;&lt;doc title="""&amp;Controls!$B99&amp;"""&gt;"&amp;Controls!P99&amp;"&lt;/doc&gt;"</f>
        <v>&lt;resource id="Prepayment"  wx:samplePath="/ppy/{id1}"&gt;&lt;doc title="Prepayment"&gt;A particular Prepayment instance. Provides links to the Account Balance, Credit Register, and Operation Status resources for a particular service.&lt;/doc&gt;</v>
      </c>
      <c r="B99" s="1" t="str">
        <f>"&lt;method id="""&amp;Controls!D$1&amp;Controls!$B99&amp;""" name="""&amp;Controls!D$1&amp;""" wx:mode="""&amp;Controls!D99&amp;"""&gt;"&amp;IF(Controls!D99="E","&lt;response status=""400""/&gt;&lt;response status=""405""/&gt;",I99&amp;"&lt;response&gt;&lt;representation mediaType="""&amp;Var!$B$18&amp;""" element=""sep:"&amp;Controls!$W99&amp;"""/&gt;&lt;representation mediaType="""&amp;Var!$B$19&amp;""" element=""sep:"&amp;Controls!$W99&amp;"""/&gt;&lt;/response&gt;")&amp;"&lt;/method&gt;"</f>
        <v>&lt;method id="GETPrepayment" name="GET" wx:mode="M"&gt;&lt;response&gt;&lt;representation mediaType="application/sep+xml" element="sep:Prepayment"/&gt;&lt;representation mediaType="application/sep-exi" element="sep:Prepayment"/&gt;&lt;/response&gt;&lt;/method&gt;</v>
      </c>
      <c r="C99" s="1" t="str">
        <f>"&lt;method id=""HEAD"&amp;Controls!$B99&amp;""" name=""HEAD"" wx:mode="""&amp;Controls!D99&amp;"""/&gt;"</f>
        <v>&lt;method id="HEADPrepayment" name="HEAD" wx:mode="M"/&gt;</v>
      </c>
      <c r="D99" s="1" t="str">
        <f>"&lt;method id="""&amp;Controls!E$1&amp;Controls!$B99&amp;""" name="""&amp;Controls!E$1&amp;""" wx:mode="""&amp;Controls!E99&amp;"""&gt;&lt;request&gt;&lt;representation mediaType="""&amp;Var!$B$18&amp;""" element=""sep:"&amp;Controls!$V99&amp;"""/&gt;&lt;representation mediaType="""&amp;Var!$B$19&amp;""" element=""sep:"&amp;Controls!$V99&amp;"""/&gt;&lt;/request&gt;"&amp;IF(Controls!E99="E","&lt;response status=""400""/&gt;&lt;response status=""405""/&gt;","")&amp;"&lt;/method&gt;"</f>
        <v>&lt;method id="PUTPrepayment" name="PUT" wx:mode="E"&gt;&lt;request&gt;&lt;representation mediaType="application/sep+xml" element="sep:Prepayment"/&gt;&lt;representation mediaType="application/sep-exi" element="sep:Prepayment"/&gt;&lt;/request&gt;&lt;response status="400"/&gt;&lt;response status="405"/&gt;&lt;/method&gt;</v>
      </c>
      <c r="E99" s="1" t="str">
        <f>"&lt;method id="""&amp;Controls!F$1&amp;Controls!$B99&amp;""" name="""&amp;Controls!F$1&amp;""" wx:mode="""&amp;Controls!F99&amp;"""&gt;"&amp;IF(Controls!B99="MirrorUsagePoint",Var!$B$21,"&lt;request&gt;&lt;representation mediaType="""&amp;Var!$B$18&amp;""" element=""sep:"&amp;Controls!$V99&amp;"""/&gt;&lt;representation mediaType="""&amp;Var!$B$19&amp;""" element=""sep:"&amp;Controls!$V99&amp;"""/&gt;&lt;/request&gt;")&amp;IF(Controls!F99="E","&lt;response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id="POSTPrepayment" name="POST" wx:mode="E"&gt;&lt;request&gt;&lt;representation mediaType="application/sep+xml" element="sep:Prepayment"/&gt;&lt;representation mediaType="application/sep-exi" element="sep:Prepayment"/&gt;&lt;/request&gt;&lt;response status="400"/&gt;&lt;response status="405"/&gt;&lt;/method&gt;</v>
      </c>
      <c r="F99" s="1" t="str">
        <f>"&lt;method id="""&amp;Controls!G$1&amp;Controls!$B99&amp;""" name="""&amp;Controls!G$1&amp;""" wx:mode="""&amp;Controls!G99&amp;"""&gt;"&amp;IF(Controls!G99="E","&lt;response status=""400""/&gt;&lt;response status=""405""/&gt;","&lt;response&gt;&lt;representation mediaType=""application/xml"" element=""sep:"&amp;Controls!$V99&amp;"""/&gt;&lt;/response&gt;")&amp;"&lt;/method&gt;"</f>
        <v>&lt;method id="DELETEPrepayment" name="DELETE" wx:mode="D"&gt;&lt;response&gt;&lt;representation mediaType="application/xml" element="sep:Prepayment"/&gt;&lt;/response&gt;&lt;/method&gt;</v>
      </c>
      <c r="G99" s="1" t="str">
        <f ca="1">IF(ISBLANK(Controls!B99),"",OFFSET(Var!B$11,Controls!O99,0)&amp;"&lt;/resource&gt;")</f>
        <v>&lt;wx:sampleParam name="id1" style="template" type="idType"/&gt;&lt;/resource&gt;</v>
      </c>
      <c r="I99" s="6" t="str">
        <f>IF(Controls!K99,"&lt;request&gt;&lt;param name=""s"" style=""query"" type=""xsd:int""&gt;&lt;doc&gt;start&lt;/doc&gt;&lt;/param&gt;"&amp;IF(Controls!L99,"&lt;param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0" spans="1:9" ht="48" customHeight="1">
      <c r="A100" s="1" t="str">
        <f>"&lt;resource id="""&amp;Controls!B100&amp;""" "&amp;IF(0,"path=""{"&amp;Controls!B100&amp;"Path}""","")&amp;" wx:samplePath="""&amp;Controls!C100&amp;"""&gt;&lt;doc title="""&amp;Controls!$B100&amp;"""&gt;"&amp;Controls!P100&amp;"&lt;/doc&gt;"</f>
        <v>&lt;resource id="AccountBalance"  wx:samplePath="/ppy/{id1}/ab"&gt;&lt;doc title="AccountBalance"&gt;Account Balance instance. &lt;/doc&gt;</v>
      </c>
      <c r="B100" s="1" t="str">
        <f>"&lt;method id="""&amp;Controls!D$1&amp;Controls!$B100&amp;""" name="""&amp;Controls!D$1&amp;""" wx:mode="""&amp;Controls!D100&amp;"""&gt;"&amp;IF(Controls!D100="E","&lt;response status=""400""/&gt;&lt;response status=""405""/&gt;",I100&amp;"&lt;response&gt;&lt;representation mediaType="""&amp;Var!$B$18&amp;""" element=""sep:"&amp;Controls!$W100&amp;"""/&gt;&lt;representation mediaType="""&amp;Var!$B$19&amp;""" element=""sep:"&amp;Controls!$W100&amp;"""/&gt;&lt;/response&gt;")&amp;"&lt;/method&gt;"</f>
        <v>&lt;method id="GETAccountBalance" name="GET" wx:mode="M"&gt;&lt;response&gt;&lt;representation mediaType="application/sep+xml" element="sep:AccountBalance"/&gt;&lt;representation mediaType="application/sep-exi" element="sep:AccountBalance"/&gt;&lt;/response&gt;&lt;/method&gt;</v>
      </c>
      <c r="C100" s="1" t="str">
        <f>"&lt;method id=""HEAD"&amp;Controls!$B100&amp;""" name=""HEAD"" wx:mode="""&amp;Controls!D100&amp;"""/&gt;"</f>
        <v>&lt;method id="HEADAccountBalance" name="HEAD" wx:mode="M"/&gt;</v>
      </c>
      <c r="D100" s="1" t="str">
        <f>"&lt;method id="""&amp;Controls!E$1&amp;Controls!$B100&amp;""" name="""&amp;Controls!E$1&amp;""" wx:mode="""&amp;Controls!E100&amp;"""&gt;&lt;request&gt;&lt;representation mediaType="""&amp;Var!$B$18&amp;""" element=""sep:"&amp;Controls!$V100&amp;"""/&gt;&lt;representation mediaType="""&amp;Var!$B$19&amp;""" element=""sep:"&amp;Controls!$V100&amp;"""/&gt;&lt;/request&gt;"&amp;IF(Controls!E100="E","&lt;response status=""400""/&gt;&lt;response status=""405""/&gt;","")&amp;"&lt;/method&gt;"</f>
        <v>&lt;method id="PUTAccountBalance" name="PUT" wx:mode="D"&gt;&lt;request&gt;&lt;representation mediaType="application/sep+xml" element="sep:AccountBalance"/&gt;&lt;representation mediaType="application/sep-exi" element="sep:AccountBalance"/&gt;&lt;/request&gt;&lt;/method&gt;</v>
      </c>
      <c r="E100" s="1" t="str">
        <f>"&lt;method id="""&amp;Controls!F$1&amp;Controls!$B100&amp;""" name="""&amp;Controls!F$1&amp;""" wx:mode="""&amp;Controls!F100&amp;"""&gt;"&amp;IF(Controls!B100="MirrorUsagePoint",Var!$B$21,"&lt;request&gt;&lt;representation mediaType="""&amp;Var!$B$18&amp;""" element=""sep:"&amp;Controls!$V100&amp;"""/&gt;&lt;representation mediaType="""&amp;Var!$B$19&amp;""" element=""sep:"&amp;Controls!$V100&amp;"""/&gt;&lt;/request&gt;")&amp;IF(Controls!F100="E","&lt;response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id="POSTAccountBalance" name="POST" wx:mode="E"&gt;&lt;request&gt;&lt;representation mediaType="application/sep+xml" element="sep:AccountBalance"/&gt;&lt;representation mediaType="application/sep-exi" element="sep:AccountBalance"/&gt;&lt;/request&gt;&lt;response status="400"/&gt;&lt;response status="405"/&gt;&lt;/method&gt;</v>
      </c>
      <c r="F100" s="1" t="str">
        <f>"&lt;method id="""&amp;Controls!G$1&amp;Controls!$B100&amp;""" name="""&amp;Controls!G$1&amp;""" wx:mode="""&amp;Controls!G100&amp;"""&gt;"&amp;IF(Controls!G100="E","&lt;response status=""400""/&gt;&lt;response status=""405""/&gt;","&lt;response&gt;&lt;representation mediaType=""application/xml"" element=""sep:"&amp;Controls!$V100&amp;"""/&gt;&lt;/response&gt;")&amp;"&lt;/method&gt;"</f>
        <v>&lt;method id="DELETEAccountBalance" name="DELETE" wx:mode="E"&gt;&lt;response status="400"/&gt;&lt;response status="405"/&gt;&lt;/method&gt;</v>
      </c>
      <c r="G100" s="1" t="str">
        <f ca="1">IF(ISBLANK(Controls!B100),"",OFFSET(Var!B$11,Controls!O100,0)&amp;"&lt;/resource&gt;")</f>
        <v>&lt;wx:sampleParam name="id1" style="template" type="idType"/&gt;&lt;/resource&gt;</v>
      </c>
      <c r="I100" s="6" t="str">
        <f>IF(Controls!K100,"&lt;request&gt;&lt;param name=""s"" style=""query"" type=""xsd:int""&gt;&lt;doc&gt;start&lt;/doc&gt;&lt;/param&gt;"&amp;IF(Controls!L100,"&lt;param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1" spans="1:9" ht="48" customHeight="1">
      <c r="A101" s="1" t="str">
        <f>"&lt;resource id="""&amp;Controls!B101&amp;""" "&amp;IF(0,"path=""{"&amp;Controls!B101&amp;"Path}""","")&amp;" wx:samplePath="""&amp;Controls!C101&amp;"""&gt;&lt;doc title="""&amp;Controls!$B101&amp;"""&gt;"&amp;Controls!P101&amp;"&lt;/doc&gt;"</f>
        <v>&lt;resource id="PrepayOperationStatus"  wx:samplePath="/ppy/{id1}/os"&gt;&lt;doc title="PrepayOperationStatus"&gt;The Operation Status for the given service. Identifies whether service should be continued. MAY also include other status information, such as low credit warning.&lt;/doc&gt;</v>
      </c>
      <c r="B101" s="1" t="str">
        <f>"&lt;method id="""&amp;Controls!D$1&amp;Controls!$B101&amp;""" name="""&amp;Controls!D$1&amp;""" wx:mode="""&amp;Controls!D101&amp;"""&gt;"&amp;IF(Controls!D101="E","&lt;response status=""400""/&gt;&lt;response status=""405""/&gt;",I101&amp;"&lt;response&gt;&lt;representation mediaType="""&amp;Var!$B$18&amp;""" element=""sep:"&amp;Controls!$W101&amp;"""/&gt;&lt;representation mediaType="""&amp;Var!$B$19&amp;""" element=""sep:"&amp;Controls!$W101&amp;"""/&gt;&lt;/response&gt;")&amp;"&lt;/method&gt;"</f>
        <v>&lt;method id="GETPrepayOperationStatus" name="GET" wx:mode="M"&gt;&lt;response&gt;&lt;representation mediaType="application/sep+xml" element="sep:PrepayOperationStatus"/&gt;&lt;representation mediaType="application/sep-exi" element="sep:PrepayOperationStatus"/&gt;&lt;/response&gt;&lt;/method&gt;</v>
      </c>
      <c r="C101" s="1" t="str">
        <f>"&lt;method id=""HEAD"&amp;Controls!$B101&amp;""" name=""HEAD"" wx:mode="""&amp;Controls!D101&amp;"""/&gt;"</f>
        <v>&lt;method id="HEADPrepayOperationStatus" name="HEAD" wx:mode="M"/&gt;</v>
      </c>
      <c r="D101" s="1" t="str">
        <f>"&lt;method id="""&amp;Controls!E$1&amp;Controls!$B101&amp;""" name="""&amp;Controls!E$1&amp;""" wx:mode="""&amp;Controls!E101&amp;"""&gt;&lt;request&gt;&lt;representation mediaType="""&amp;Var!$B$18&amp;""" element=""sep:"&amp;Controls!$V101&amp;"""/&gt;&lt;representation mediaType="""&amp;Var!$B$19&amp;""" element=""sep:"&amp;Controls!$V101&amp;"""/&gt;&lt;/request&gt;"&amp;IF(Controls!E101="E","&lt;response status=""400""/&gt;&lt;response status=""405""/&gt;","")&amp;"&lt;/method&gt;"</f>
        <v>&lt;method id="PUTPrepayOperationStatus" name="PUT" wx:mode="D"&gt;&lt;request&gt;&lt;representation mediaType="application/sep+xml" element="sep:PrepayOperationStatus"/&gt;&lt;representation mediaType="application/sep-exi" element="sep:PrepayOperationStatus"/&gt;&lt;/request&gt;&lt;/method&gt;</v>
      </c>
      <c r="E101" s="1" t="str">
        <f>"&lt;method id="""&amp;Controls!F$1&amp;Controls!$B101&amp;""" name="""&amp;Controls!F$1&amp;""" wx:mode="""&amp;Controls!F101&amp;"""&gt;"&amp;IF(Controls!B101="MirrorUsagePoint",Var!$B$21,"&lt;request&gt;&lt;representation mediaType="""&amp;Var!$B$18&amp;""" element=""sep:"&amp;Controls!$V101&amp;"""/&gt;&lt;representation mediaType="""&amp;Var!$B$19&amp;""" element=""sep:"&amp;Controls!$V101&amp;"""/&gt;&lt;/request&gt;")&amp;IF(Controls!F101="E","&lt;response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id="POSTPrepayOperationStatus" name="POST" wx:mode="E"&gt;&lt;request&gt;&lt;representation mediaType="application/sep+xml" element="sep:PrepayOperationStatus"/&gt;&lt;representation mediaType="application/sep-exi" element="sep:PrepayOperationStatus"/&gt;&lt;/request&gt;&lt;response status="400"/&gt;&lt;response status="405"/&gt;&lt;/method&gt;</v>
      </c>
      <c r="F101" s="1" t="str">
        <f>"&lt;method id="""&amp;Controls!G$1&amp;Controls!$B101&amp;""" name="""&amp;Controls!G$1&amp;""" wx:mode="""&amp;Controls!G101&amp;"""&gt;"&amp;IF(Controls!G101="E","&lt;response status=""400""/&gt;&lt;response status=""405""/&gt;","&lt;response&gt;&lt;representation mediaType=""application/xml"" element=""sep:"&amp;Controls!$V101&amp;"""/&gt;&lt;/response&gt;")&amp;"&lt;/method&gt;"</f>
        <v>&lt;method id="DELETEPrepayOperationStatus" name="DELETE" wx:mode="E"&gt;&lt;response status="400"/&gt;&lt;response status="405"/&gt;&lt;/method&gt;</v>
      </c>
      <c r="G101" s="1" t="str">
        <f ca="1">IF(ISBLANK(Controls!B101),"",OFFSET(Var!B$11,Controls!O101,0)&amp;"&lt;/resource&gt;")</f>
        <v>&lt;wx:sampleParam name="id1" style="template" type="idType"/&gt;&lt;/resource&gt;</v>
      </c>
      <c r="I101" s="6" t="str">
        <f>IF(Controls!K101,"&lt;request&gt;&lt;param name=""s"" style=""query"" type=""xsd:int""&gt;&lt;doc&gt;start&lt;/doc&gt;&lt;/param&gt;"&amp;IF(Controls!L101,"&lt;param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2" spans="1:9" ht="48" customHeight="1">
      <c r="A102" s="1" t="str">
        <f>"&lt;resource id="""&amp;Controls!B102&amp;""" "&amp;IF(0,"path=""{"&amp;Controls!B102&amp;"Path}""","")&amp;" wx:samplePath="""&amp;Controls!C102&amp;"""&gt;&lt;doc title="""&amp;Controls!$B102&amp;"""&gt;"&amp;Controls!P102&amp;"&lt;/doc&gt;"</f>
        <v>&lt;resource id="ActiveSupplyInterruptionOverrideList"  wx:samplePath="/ppy/{id1}/actsi"&gt;&lt;doc title="ActiveSupplyInterruptionOverrideList"&gt;A list of active supply interruption overrides&lt;/doc&gt;</v>
      </c>
      <c r="B102" s="1" t="str">
        <f>"&lt;method id="""&amp;Controls!D$1&amp;Controls!$B102&amp;""" name="""&amp;Controls!D$1&amp;""" wx:mode="""&amp;Controls!D102&amp;"""&gt;"&amp;IF(Controls!D102="E","&lt;response status=""400""/&gt;&lt;response status=""405""/&gt;",I102&amp;"&lt;response&gt;&lt;representation mediaType="""&amp;Var!$B$18&amp;""" element=""sep:"&amp;Controls!$W102&amp;"""/&gt;&lt;representation mediaType="""&amp;Var!$B$19&amp;""" element=""sep:"&amp;Controls!$W102&amp;"""/&gt;&lt;/response&gt;")&amp;"&lt;/method&gt;"</f>
        <v>&lt;method id="GETActiveSupplyInterruptionOverrideList"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element="sep:SupplyInterruptionOverrideList"/&gt;&lt;representation mediaType="application/sep-exi" element="sep:SupplyInterruptionOverrideList"/&gt;&lt;/response&gt;&lt;/method&gt;</v>
      </c>
      <c r="C102" s="1" t="str">
        <f>"&lt;method id=""HEAD"&amp;Controls!$B102&amp;""" name=""HEAD"" wx:mode="""&amp;Controls!D102&amp;"""/&gt;"</f>
        <v>&lt;method id="HEADActiveSupplyInterruptionOverrideList" name="HEAD" wx:mode="M"/&gt;</v>
      </c>
      <c r="D102" s="1" t="str">
        <f>"&lt;method id="""&amp;Controls!E$1&amp;Controls!$B102&amp;""" name="""&amp;Controls!E$1&amp;""" wx:mode="""&amp;Controls!E102&amp;"""&gt;&lt;request&gt;&lt;representation mediaType="""&amp;Var!$B$18&amp;""" element=""sep:"&amp;Controls!$V102&amp;"""/&gt;&lt;representation mediaType="""&amp;Var!$B$19&amp;""" element=""sep:"&amp;Controls!$V102&amp;"""/&gt;&lt;/request&gt;"&amp;IF(Controls!E102="E","&lt;response status=""400""/&gt;&lt;response status=""405""/&gt;","")&amp;"&lt;/method&gt;"</f>
        <v>&lt;method id="PUTActiveSupplyInterruptionOverrideList" name="PUT" wx:mode="E"&gt;&lt;request&gt;&lt;representation mediaType="application/sep+xml" element="sep:SupplyInterruptionOverride"/&gt;&lt;representation mediaType="application/sep-exi" element="sep:SupplyInterruptionOverride"/&gt;&lt;/request&gt;&lt;response status="400"/&gt;&lt;response status="405"/&gt;&lt;/method&gt;</v>
      </c>
      <c r="E102" s="1" t="str">
        <f>"&lt;method id="""&amp;Controls!F$1&amp;Controls!$B102&amp;""" name="""&amp;Controls!F$1&amp;""" wx:mode="""&amp;Controls!F102&amp;"""&gt;"&amp;IF(Controls!B102="MirrorUsagePoint",Var!$B$21,"&lt;request&gt;&lt;representation mediaType="""&amp;Var!$B$18&amp;""" element=""sep:"&amp;Controls!$V102&amp;"""/&gt;&lt;representation mediaType="""&amp;Var!$B$19&amp;""" element=""sep:"&amp;Controls!$V102&amp;"""/&gt;&lt;/request&gt;")&amp;IF(Controls!F102="E","&lt;response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id="POSTActiveSupplyInterruptionOverrideList" name="POST" wx:mode="E"&gt;&lt;request&gt;&lt;representation mediaType="application/sep+xml" element="sep:SupplyInterruptionOverride"/&gt;&lt;representation mediaType="application/sep-exi" element="sep:SupplyInterruptionOverride"/&gt;&lt;/request&gt;&lt;response status="400"/&gt;&lt;response status="405"/&gt;&lt;/method&gt;</v>
      </c>
      <c r="F102" s="1" t="str">
        <f>"&lt;method id="""&amp;Controls!G$1&amp;Controls!$B102&amp;""" name="""&amp;Controls!G$1&amp;""" wx:mode="""&amp;Controls!G102&amp;"""&gt;"&amp;IF(Controls!G102="E","&lt;response status=""400""/&gt;&lt;response status=""405""/&gt;","&lt;response&gt;&lt;representation mediaType=""application/xml"" element=""sep:"&amp;Controls!$V102&amp;"""/&gt;&lt;/response&gt;")&amp;"&lt;/method&gt;"</f>
        <v>&lt;method id="DELETEActiveSupplyInterruptionOverrideList" name="DELETE" wx:mode="E"&gt;&lt;response status="400"/&gt;&lt;response status="405"/&gt;&lt;/method&gt;</v>
      </c>
      <c r="G102" s="1" t="str">
        <f ca="1">IF(ISBLANK(Controls!B102),"",OFFSET(Var!B$11,Controls!O102,0)&amp;"&lt;/resource&gt;")</f>
        <v>&lt;wx:sampleParam name="id1" style="template" type="idType"/&gt;&lt;/resource&gt;</v>
      </c>
      <c r="I102" s="6" t="str">
        <f>IF(Controls!K102,"&lt;request&gt;&lt;param name=""s"" style=""query"" type=""xsd:int""&gt;&lt;doc&gt;start&lt;/doc&gt;&lt;/param&gt;"&amp;IF(Controls!L102,"&lt;param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103" spans="1:9" ht="48" customHeight="1">
      <c r="A103" s="1" t="str">
        <f>"&lt;resource id="""&amp;Controls!B103&amp;""" "&amp;IF(0,"path=""{"&amp;Controls!B103&amp;"Path}""","")&amp;" wx:samplePath="""&amp;Controls!C103&amp;"""&gt;&lt;doc title="""&amp;Controls!$B103&amp;"""&gt;"&amp;Controls!P103&amp;"&lt;/doc&gt;"</f>
        <v>&lt;resource id="SupplyInterruptionOverrideList"  wx:samplePath="/ppy/{id1}/si"&gt;&lt;doc title="SupplyInterruptionOverrideList"&gt;A List of Supply Interruption Override instances.&lt;/doc&gt;</v>
      </c>
      <c r="B103" s="1" t="str">
        <f>"&lt;method id="""&amp;Controls!D$1&amp;Controls!$B103&amp;""" name="""&amp;Controls!D$1&amp;""" wx:mode="""&amp;Controls!D103&amp;"""&gt;"&amp;IF(Controls!D103="E","&lt;response status=""400""/&gt;&lt;response status=""405""/&gt;",I103&amp;"&lt;response&gt;&lt;representation mediaType="""&amp;Var!$B$18&amp;""" element=""sep:"&amp;Controls!$W103&amp;"""/&gt;&lt;representation mediaType="""&amp;Var!$B$19&amp;""" element=""sep:"&amp;Controls!$W103&amp;"""/&gt;&lt;/response&gt;")&amp;"&lt;/method&gt;"</f>
        <v>&lt;method id="GETSupplyInterruptionOverrideList"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element="sep:SupplyInterruptionOverrideList"/&gt;&lt;representation mediaType="application/sep-exi" element="sep:SupplyInterruptionOverrideList"/&gt;&lt;/response&gt;&lt;/method&gt;</v>
      </c>
      <c r="C103" s="1" t="str">
        <f>"&lt;method id=""HEAD"&amp;Controls!$B103&amp;""" name=""HEAD"" wx:mode="""&amp;Controls!D103&amp;"""/&gt;"</f>
        <v>&lt;method id="HEADSupplyInterruptionOverrideList" name="HEAD" wx:mode="M"/&gt;</v>
      </c>
      <c r="D103" s="1" t="str">
        <f>"&lt;method id="""&amp;Controls!E$1&amp;Controls!$B103&amp;""" name="""&amp;Controls!E$1&amp;""" wx:mode="""&amp;Controls!E103&amp;"""&gt;&lt;request&gt;&lt;representation mediaType="""&amp;Var!$B$18&amp;""" element=""sep:"&amp;Controls!$V103&amp;"""/&gt;&lt;representation mediaType="""&amp;Var!$B$19&amp;""" element=""sep:"&amp;Controls!$V103&amp;"""/&gt;&lt;/request&gt;"&amp;IF(Controls!E103="E","&lt;response status=""400""/&gt;&lt;response status=""405""/&gt;","")&amp;"&lt;/method&gt;"</f>
        <v>&lt;method id="PUTSupplyInterruptionOverrideList" name="PUT" wx:mode="E"&gt;&lt;request&gt;&lt;representation mediaType="application/sep+xml" element="sep:SupplyInterruptionOverride"/&gt;&lt;representation mediaType="application/sep-exi" element="sep:SupplyInterruptionOverride"/&gt;&lt;/request&gt;&lt;response status="400"/&gt;&lt;response status="405"/&gt;&lt;/method&gt;</v>
      </c>
      <c r="E103" s="1" t="str">
        <f>"&lt;method id="""&amp;Controls!F$1&amp;Controls!$B103&amp;""" name="""&amp;Controls!F$1&amp;""" wx:mode="""&amp;Controls!F103&amp;"""&gt;"&amp;IF(Controls!B103="MirrorUsagePoint",Var!$B$21,"&lt;request&gt;&lt;representation mediaType="""&amp;Var!$B$18&amp;""" element=""sep:"&amp;Controls!$V103&amp;"""/&gt;&lt;representation mediaType="""&amp;Var!$B$19&amp;""" element=""sep:"&amp;Controls!$V103&amp;"""/&gt;&lt;/request&gt;")&amp;IF(Controls!F103="E","&lt;response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id="POSTSupplyInterruptionOverrideList" name="POST" wx:mode="D"&gt;&lt;request&gt;&lt;representation mediaType="application/sep+xml" element="sep:SupplyInterruptionOverride"/&gt;&lt;representation mediaType="application/sep-exi" element="sep:SupplyInterruptionOverride"/&gt;&lt;/request&gt;&lt;response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03" s="1" t="str">
        <f>"&lt;method id="""&amp;Controls!G$1&amp;Controls!$B103&amp;""" name="""&amp;Controls!G$1&amp;""" wx:mode="""&amp;Controls!G103&amp;"""&gt;"&amp;IF(Controls!G103="E","&lt;response status=""400""/&gt;&lt;response status=""405""/&gt;","&lt;response&gt;&lt;representation mediaType=""application/xml"" element=""sep:"&amp;Controls!$V103&amp;"""/&gt;&lt;/response&gt;")&amp;"&lt;/method&gt;"</f>
        <v>&lt;method id="DELETESupplyInterruptionOverrideList" name="DELETE" wx:mode="E"&gt;&lt;response status="400"/&gt;&lt;response status="405"/&gt;&lt;/method&gt;</v>
      </c>
      <c r="G103" s="1" t="str">
        <f ca="1">IF(ISBLANK(Controls!B103),"",OFFSET(Var!B$11,Controls!O103,0)&amp;"&lt;/resource&gt;")</f>
        <v>&lt;wx:sampleParam name="id1" style="template" type="idType"/&gt;&lt;/resource&gt;</v>
      </c>
      <c r="I103" s="6" t="str">
        <f>IF(Controls!K103,"&lt;request&gt;&lt;param name=""s"" style=""query"" type=""xsd:int""&gt;&lt;doc&gt;start&lt;/doc&gt;&lt;/param&gt;"&amp;IF(Controls!L103,"&lt;param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104" spans="1:9" ht="47.25" customHeight="1">
      <c r="A104" s="1" t="str">
        <f>"&lt;resource id="""&amp;Controls!B104&amp;""" "&amp;IF(0,"path=""{"&amp;Controls!B104&amp;"Path}""","")&amp;" wx:samplePath="""&amp;Controls!C104&amp;"""&gt;&lt;doc title="""&amp;Controls!$B104&amp;"""&gt;"&amp;Controls!P104&amp;"&lt;/doc&gt;"</f>
        <v>&lt;resource id="SupplyInterruptionOverride"  wx:samplePath="/ppy/{id1}/si/{id2}"&gt;&lt;doc title="SupplyInterruptionOverride"&gt;A particular Supply Interruption Override instance. This defines a period of time during which supply would not be interrupted even if available credit has been exhausted.&lt;/doc&gt;</v>
      </c>
      <c r="B104" s="1" t="str">
        <f>"&lt;method id="""&amp;Controls!D$1&amp;Controls!$B104&amp;""" name="""&amp;Controls!D$1&amp;""" wx:mode="""&amp;Controls!D104&amp;"""&gt;"&amp;IF(Controls!D104="E","&lt;response status=""400""/&gt;&lt;response status=""405""/&gt;",I104&amp;"&lt;response&gt;&lt;representation mediaType="""&amp;Var!$B$18&amp;""" element=""sep:"&amp;Controls!$W104&amp;"""/&gt;&lt;representation mediaType="""&amp;Var!$B$19&amp;""" element=""sep:"&amp;Controls!$W104&amp;"""/&gt;&lt;/response&gt;")&amp;"&lt;/method&gt;"</f>
        <v>&lt;method id="GETSupplyInterruptionOverride" name="GET" wx:mode="M"&gt;&lt;response&gt;&lt;representation mediaType="application/sep+xml" element="sep:SupplyInterruptionOverride"/&gt;&lt;representation mediaType="application/sep-exi" element="sep:SupplyInterruptionOverride"/&gt;&lt;/response&gt;&lt;/method&gt;</v>
      </c>
      <c r="C104" s="1" t="str">
        <f>"&lt;method id=""HEAD"&amp;Controls!$B104&amp;""" name=""HEAD"" wx:mode="""&amp;Controls!D104&amp;"""/&gt;"</f>
        <v>&lt;method id="HEADSupplyInterruptionOverride" name="HEAD" wx:mode="M"/&gt;</v>
      </c>
      <c r="D104" s="1" t="str">
        <f>"&lt;method id="""&amp;Controls!E$1&amp;Controls!$B104&amp;""" name="""&amp;Controls!E$1&amp;""" wx:mode="""&amp;Controls!E104&amp;"""&gt;&lt;request&gt;&lt;representation mediaType="""&amp;Var!$B$18&amp;""" element=""sep:"&amp;Controls!$V104&amp;"""/&gt;&lt;representation mediaType="""&amp;Var!$B$19&amp;""" element=""sep:"&amp;Controls!$V104&amp;"""/&gt;&lt;/request&gt;"&amp;IF(Controls!E104="E","&lt;response status=""400""/&gt;&lt;response status=""405""/&gt;","")&amp;"&lt;/method&gt;"</f>
        <v>&lt;method id="PUTSupplyInterruptionOverride" name="PUT" wx:mode="D"&gt;&lt;request&gt;&lt;representation mediaType="application/sep+xml" element="sep:SupplyInterruptionOverride"/&gt;&lt;representation mediaType="application/sep-exi" element="sep:SupplyInterruptionOverride"/&gt;&lt;/request&gt;&lt;/method&gt;</v>
      </c>
      <c r="E104" s="1" t="str">
        <f>"&lt;method id="""&amp;Controls!F$1&amp;Controls!$B104&amp;""" name="""&amp;Controls!F$1&amp;""" wx:mode="""&amp;Controls!F104&amp;"""&gt;"&amp;IF(Controls!B104="MirrorUsagePoint",Var!$B$21,"&lt;request&gt;&lt;representation mediaType="""&amp;Var!$B$18&amp;""" element=""sep:"&amp;Controls!$V104&amp;"""/&gt;&lt;representation mediaType="""&amp;Var!$B$19&amp;""" element=""sep:"&amp;Controls!$V104&amp;"""/&gt;&lt;/request&gt;")&amp;IF(Controls!F104="E","&lt;response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id="POSTSupplyInterruptionOverride" name="POST" wx:mode="E"&gt;&lt;request&gt;&lt;representation mediaType="application/sep+xml" element="sep:SupplyInterruptionOverride"/&gt;&lt;representation mediaType="application/sep-exi" element="sep:SupplyInterruptionOverride"/&gt;&lt;/request&gt;&lt;response status="400"/&gt;&lt;response status="405"/&gt;&lt;/method&gt;</v>
      </c>
      <c r="F104" s="1" t="str">
        <f>"&lt;method id="""&amp;Controls!G$1&amp;Controls!$B104&amp;""" name="""&amp;Controls!G$1&amp;""" wx:mode="""&amp;Controls!G104&amp;"""&gt;"&amp;IF(Controls!G104="E","&lt;response status=""400""/&gt;&lt;response status=""405""/&gt;","&lt;response&gt;&lt;representation mediaType=""application/xml"" element=""sep:"&amp;Controls!$V104&amp;"""/&gt;&lt;/response&gt;")&amp;"&lt;/method&gt;"</f>
        <v>&lt;method id="DELETESupplyInterruptionOverride" name="DELETE" wx:mode="D"&gt;&lt;response&gt;&lt;representation mediaType="application/xml" element="sep:SupplyInterruptionOverride"/&gt;&lt;/response&gt;&lt;/method&gt;</v>
      </c>
      <c r="G104" s="1" t="str">
        <f ca="1">IF(ISBLANK(Controls!B104),"",OFFSET(Var!B$11,Controls!O104,0)&amp;"&lt;/resource&gt;")</f>
        <v>&lt;wx:sampleParam name="id1" style="template" type="idType"/&gt;&lt;wx:sampleParam name="id2" style="template" type="idType"/&gt;&lt;/resource&gt;</v>
      </c>
      <c r="I104" s="6" t="str">
        <f>IF(Controls!K104,"&lt;request&gt;&lt;param name=""s"" style=""query"" type=""xsd:int""&gt;&lt;doc&gt;start&lt;/doc&gt;&lt;/param&gt;"&amp;IF(Controls!L104,"&lt;param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5" spans="1:9" ht="47.25" customHeight="1">
      <c r="A105" s="1" t="str">
        <f>"&lt;resource id="""&amp;Controls!B105&amp;""" "&amp;IF(0,"path=""{"&amp;Controls!B105&amp;"Path}""","")&amp;" wx:samplePath="""&amp;Controls!C105&amp;"""&gt;&lt;doc title="""&amp;Controls!$B105&amp;"""&gt;"&amp;Controls!P105&amp;"&lt;/doc&gt;"</f>
        <v>&lt;resource id="CreditRegisterList"  wx:samplePath="/ppy/{id1}/cr"&gt;&lt;doc title="CreditRegisterList"&gt;A List of Credit Register instances. Interface for new credit transactions.&lt;/doc&gt;</v>
      </c>
      <c r="B105" s="1" t="str">
        <f>"&lt;method id="""&amp;Controls!D$1&amp;Controls!$B105&amp;""" name="""&amp;Controls!D$1&amp;""" wx:mode="""&amp;Controls!D105&amp;"""&gt;"&amp;IF(Controls!D105="E","&lt;response status=""400""/&gt;&lt;response status=""405""/&gt;",I105&amp;"&lt;response&gt;&lt;representation mediaType="""&amp;Var!$B$18&amp;""" element=""sep:"&amp;Controls!$W105&amp;"""/&gt;&lt;representation mediaType="""&amp;Var!$B$19&amp;""" element=""sep:"&amp;Controls!$W105&amp;"""/&gt;&lt;/response&gt;")&amp;"&lt;/method&gt;"</f>
        <v>&lt;method id="GETCreditRegisterList"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element="sep:CreditRegisterList"/&gt;&lt;representation mediaType="application/sep-exi" element="sep:CreditRegisterList"/&gt;&lt;/response&gt;&lt;/method&gt;</v>
      </c>
      <c r="C105" s="1" t="str">
        <f>"&lt;method id=""HEAD"&amp;Controls!$B105&amp;""" name=""HEAD"" wx:mode="""&amp;Controls!D105&amp;"""/&gt;"</f>
        <v>&lt;method id="HEADCreditRegisterList" name="HEAD" wx:mode="M"/&gt;</v>
      </c>
      <c r="D105" s="1" t="str">
        <f>"&lt;method id="""&amp;Controls!E$1&amp;Controls!$B105&amp;""" name="""&amp;Controls!E$1&amp;""" wx:mode="""&amp;Controls!E105&amp;"""&gt;&lt;request&gt;&lt;representation mediaType="""&amp;Var!$B$18&amp;""" element=""sep:"&amp;Controls!$V105&amp;"""/&gt;&lt;representation mediaType="""&amp;Var!$B$19&amp;""" element=""sep:"&amp;Controls!$V105&amp;"""/&gt;&lt;/request&gt;"&amp;IF(Controls!E105="E","&lt;response status=""400""/&gt;&lt;response status=""405""/&gt;","")&amp;"&lt;/method&gt;"</f>
        <v>&lt;method id="PUTCreditRegisterList" name="PUT" wx:mode="E"&gt;&lt;request&gt;&lt;representation mediaType="application/sep+xml" element="sep:CreditRegister"/&gt;&lt;representation mediaType="application/sep-exi" element="sep:CreditRegister"/&gt;&lt;/request&gt;&lt;response status="400"/&gt;&lt;response status="405"/&gt;&lt;/method&gt;</v>
      </c>
      <c r="E105" s="1" t="str">
        <f>"&lt;method id="""&amp;Controls!F$1&amp;Controls!$B105&amp;""" name="""&amp;Controls!F$1&amp;""" wx:mode="""&amp;Controls!F105&amp;"""&gt;"&amp;IF(Controls!B105="MirrorUsagePoint",Var!$B$21,"&lt;request&gt;&lt;representation mediaType="""&amp;Var!$B$18&amp;""" element=""sep:"&amp;Controls!$V105&amp;"""/&gt;&lt;representation mediaType="""&amp;Var!$B$19&amp;""" element=""sep:"&amp;Controls!$V105&amp;"""/&gt;&lt;/request&gt;")&amp;IF(Controls!F105="E","&lt;response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id="POSTCreditRegisterList" name="POST" wx:mode="O"&gt;&lt;request&gt;&lt;representation mediaType="application/sep+xml" element="sep:CreditRegister"/&gt;&lt;representation mediaType="application/sep-exi" element="sep:CreditRegister"/&gt;&lt;/request&gt;&lt;response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05" s="1" t="str">
        <f>"&lt;method id="""&amp;Controls!G$1&amp;Controls!$B105&amp;""" name="""&amp;Controls!G$1&amp;""" wx:mode="""&amp;Controls!G105&amp;"""&gt;"&amp;IF(Controls!G105="E","&lt;response status=""400""/&gt;&lt;response status=""405""/&gt;","&lt;response&gt;&lt;representation mediaType=""application/xml"" element=""sep:"&amp;Controls!$V105&amp;"""/&gt;&lt;/response&gt;")&amp;"&lt;/method&gt;"</f>
        <v>&lt;method id="DELETECreditRegisterList" name="DELETE" wx:mode="E"&gt;&lt;response status="400"/&gt;&lt;response status="405"/&gt;&lt;/method&gt;</v>
      </c>
      <c r="G105" s="1" t="str">
        <f ca="1">IF(ISBLANK(Controls!B105),"",OFFSET(Var!B$11,Controls!O105,0)&amp;"&lt;/resource&gt;")</f>
        <v>&lt;wx:sampleParam name="id1" style="template" type="idType"/&gt;&lt;/resource&gt;</v>
      </c>
      <c r="I105" s="6" t="str">
        <f>IF(Controls!K105,"&lt;request&gt;&lt;param name=""s"" style=""query"" type=""xsd:int""&gt;&lt;doc&gt;start&lt;/doc&gt;&lt;/param&gt;"&amp;IF(Controls!L105,"&lt;param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06" spans="1:9" ht="47.25" customHeight="1">
      <c r="A106" s="1" t="str">
        <f>"&lt;resource id="""&amp;Controls!B106&amp;""" "&amp;IF(0,"path=""{"&amp;Controls!B106&amp;"Path}""","")&amp;" wx:samplePath="""&amp;Controls!C106&amp;"""&gt;&lt;doc title="""&amp;Controls!$B106&amp;"""&gt;"&amp;Controls!P106&amp;"&lt;/doc&gt;"</f>
        <v>&lt;resource id="CreditRegister"  wx:samplePath="/ppy/{id1}/cr/{id2}"&gt;&lt;doc title="CreditRegister"&gt;A particular Credit Register instance. Records a payment transaction or other credit addition.&lt;/doc&gt;</v>
      </c>
      <c r="B106" s="1" t="str">
        <f>"&lt;method id="""&amp;Controls!D$1&amp;Controls!$B106&amp;""" name="""&amp;Controls!D$1&amp;""" wx:mode="""&amp;Controls!D106&amp;"""&gt;"&amp;IF(Controls!D106="E","&lt;response status=""400""/&gt;&lt;response status=""405""/&gt;",I106&amp;"&lt;response&gt;&lt;representation mediaType="""&amp;Var!$B$18&amp;""" element=""sep:"&amp;Controls!$W106&amp;"""/&gt;&lt;representation mediaType="""&amp;Var!$B$19&amp;""" element=""sep:"&amp;Controls!$W106&amp;"""/&gt;&lt;/response&gt;")&amp;"&lt;/method&gt;"</f>
        <v>&lt;method id="GETCreditRegister" name="GET" wx:mode="M"&gt;&lt;response&gt;&lt;representation mediaType="application/sep+xml" element="sep:CreditRegister"/&gt;&lt;representation mediaType="application/sep-exi" element="sep:CreditRegister"/&gt;&lt;/response&gt;&lt;/method&gt;</v>
      </c>
      <c r="C106" s="1" t="str">
        <f>"&lt;method id=""HEAD"&amp;Controls!$B106&amp;""" name=""HEAD"" wx:mode="""&amp;Controls!D106&amp;"""/&gt;"</f>
        <v>&lt;method id="HEADCreditRegister" name="HEAD" wx:mode="M"/&gt;</v>
      </c>
      <c r="D106" s="1" t="str">
        <f>"&lt;method id="""&amp;Controls!E$1&amp;Controls!$B106&amp;""" name="""&amp;Controls!E$1&amp;""" wx:mode="""&amp;Controls!E106&amp;"""&gt;&lt;request&gt;&lt;representation mediaType="""&amp;Var!$B$18&amp;""" element=""sep:"&amp;Controls!$V106&amp;"""/&gt;&lt;representation mediaType="""&amp;Var!$B$19&amp;""" element=""sep:"&amp;Controls!$V106&amp;"""/&gt;&lt;/request&gt;"&amp;IF(Controls!E106="E","&lt;response status=""400""/&gt;&lt;response status=""405""/&gt;","")&amp;"&lt;/method&gt;"</f>
        <v>&lt;method id="PUTCreditRegister" name="PUT" wx:mode="E"&gt;&lt;request&gt;&lt;representation mediaType="application/sep+xml" element="sep:CreditRegister"/&gt;&lt;representation mediaType="application/sep-exi" element="sep:CreditRegister"/&gt;&lt;/request&gt;&lt;response status="400"/&gt;&lt;response status="405"/&gt;&lt;/method&gt;</v>
      </c>
      <c r="E106" s="1" t="str">
        <f>"&lt;method id="""&amp;Controls!F$1&amp;Controls!$B106&amp;""" name="""&amp;Controls!F$1&amp;""" wx:mode="""&amp;Controls!F106&amp;"""&gt;"&amp;IF(Controls!B106="MirrorUsagePoint",Var!$B$21,"&lt;request&gt;&lt;representation mediaType="""&amp;Var!$B$18&amp;""" element=""sep:"&amp;Controls!$V106&amp;"""/&gt;&lt;representation mediaType="""&amp;Var!$B$19&amp;""" element=""sep:"&amp;Controls!$V106&amp;"""/&gt;&lt;/request&gt;")&amp;IF(Controls!F106="E","&lt;response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id="POSTCreditRegister" name="POST" wx:mode="E"&gt;&lt;request&gt;&lt;representation mediaType="application/sep+xml" element="sep:CreditRegister"/&gt;&lt;representation mediaType="application/sep-exi" element="sep:CreditRegister"/&gt;&lt;/request&gt;&lt;response status="400"/&gt;&lt;response status="405"/&gt;&lt;/method&gt;</v>
      </c>
      <c r="F106" s="1" t="str">
        <f>"&lt;method id="""&amp;Controls!G$1&amp;Controls!$B106&amp;""" name="""&amp;Controls!G$1&amp;""" wx:mode="""&amp;Controls!G106&amp;"""&gt;"&amp;IF(Controls!G106="E","&lt;response status=""400""/&gt;&lt;response status=""405""/&gt;","&lt;response&gt;&lt;representation mediaType=""application/xml"" element=""sep:"&amp;Controls!$V106&amp;"""/&gt;&lt;/response&gt;")&amp;"&lt;/method&gt;"</f>
        <v>&lt;method id="DELETECreditRegister" name="DELETE" wx:mode="O"&gt;&lt;response&gt;&lt;representation mediaType="application/xml" element="sep:CreditRegister"/&gt;&lt;/response&gt;&lt;/method&gt;</v>
      </c>
      <c r="G106" s="1" t="str">
        <f ca="1">IF(ISBLANK(Controls!B106),"",OFFSET(Var!B$11,Controls!O106,0)&amp;"&lt;/resource&gt;")</f>
        <v>&lt;wx:sampleParam name="id1" style="template" type="idType"/&gt;&lt;wx:sampleParam name="id2" style="template" type="idType"/&gt;&lt;/resource&gt;</v>
      </c>
      <c r="I106" s="6" t="str">
        <f>IF(Controls!K106,"&lt;request&gt;&lt;param name=""s"" style=""query"" type=""xsd:int""&gt;&lt;doc&gt;start&lt;/doc&gt;&lt;/param&gt;"&amp;IF(Controls!L106,"&lt;param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7" spans="1:9" ht="47.25" customHeight="1">
      <c r="A107" s="1" t="str">
        <f>"&lt;resource id="""&amp;Controls!B107&amp;""" "&amp;IF(0,"path=""{"&amp;Controls!B107&amp;"Path}""","")&amp;" wx:samplePath="""&amp;Controls!C107&amp;"""&gt;&lt;doc title="""&amp;Controls!$B107&amp;"""&gt;"&amp;Controls!P107&amp;"&lt;/doc&gt;"</f>
        <v>&lt;resource id="FlowReservationRequestList"  wx:samplePath="/edev/{id1}/frq"&gt;&lt;doc title="FlowReservationRequestList"&gt;List of FlowReservationRequests.  Devices implementing the FlowReservationRequestList resource MAY support multiple FlowReservationRequests.&lt;/doc&gt;</v>
      </c>
      <c r="B107" s="1" t="str">
        <f>"&lt;method id="""&amp;Controls!D$1&amp;Controls!$B107&amp;""" name="""&amp;Controls!D$1&amp;""" wx:mode="""&amp;Controls!D107&amp;"""&gt;"&amp;IF(Controls!D107="E","&lt;response status=""400""/&gt;&lt;response status=""405""/&gt;",I107&amp;"&lt;response&gt;&lt;representation mediaType="""&amp;Var!$B$18&amp;""" element=""sep:"&amp;Controls!$W107&amp;"""/&gt;&lt;representation mediaType="""&amp;Var!$B$19&amp;""" element=""sep:"&amp;Controls!$W107&amp;"""/&gt;&lt;/response&gt;")&amp;"&lt;/method&gt;"</f>
        <v>&lt;method id="GETFlowReservationRequestList"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element="sep:FlowReservationRequestList"/&gt;&lt;representation mediaType="application/sep-exi" element="sep:FlowReservationRequestList"/&gt;&lt;/response&gt;&lt;/method&gt;</v>
      </c>
      <c r="C107" s="1" t="str">
        <f>"&lt;method id=""HEAD"&amp;Controls!$B107&amp;""" name=""HEAD"" wx:mode="""&amp;Controls!D107&amp;"""/&gt;"</f>
        <v>&lt;method id="HEADFlowReservationRequestList" name="HEAD" wx:mode="M"/&gt;</v>
      </c>
      <c r="D107" s="1" t="str">
        <f>"&lt;method id="""&amp;Controls!E$1&amp;Controls!$B107&amp;""" name="""&amp;Controls!E$1&amp;""" wx:mode="""&amp;Controls!E107&amp;"""&gt;&lt;request&gt;&lt;representation mediaType="""&amp;Var!$B$18&amp;""" element=""sep:"&amp;Controls!$V107&amp;"""/&gt;&lt;representation mediaType="""&amp;Var!$B$19&amp;""" element=""sep:"&amp;Controls!$V107&amp;"""/&gt;&lt;/request&gt;"&amp;IF(Controls!E107="E","&lt;response status=""400""/&gt;&lt;response status=""405""/&gt;","")&amp;"&lt;/method&gt;"</f>
        <v>&lt;method id="PUTFlowReservationRequestList" name="PUT" wx:mode="E"&gt;&lt;request&gt;&lt;representation mediaType="application/sep+xml" element="sep:FlowReservationRequest"/&gt;&lt;representation mediaType="application/sep-exi" element="sep:FlowReservationRequest"/&gt;&lt;/request&gt;&lt;response status="400"/&gt;&lt;response status="405"/&gt;&lt;/method&gt;</v>
      </c>
      <c r="E107" s="1" t="str">
        <f>"&lt;method id="""&amp;Controls!F$1&amp;Controls!$B107&amp;""" name="""&amp;Controls!F$1&amp;""" wx:mode="""&amp;Controls!F107&amp;"""&gt;"&amp;IF(Controls!B107="MirrorUsagePoint",Var!$B$21,"&lt;request&gt;&lt;representation mediaType="""&amp;Var!$B$18&amp;""" element=""sep:"&amp;Controls!$V107&amp;"""/&gt;&lt;representation mediaType="""&amp;Var!$B$19&amp;""" element=""sep:"&amp;Controls!$V107&amp;"""/&gt;&lt;/request&gt;")&amp;IF(Controls!F107="E","&lt;response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id="POSTFlowReservationRequestList" name="POST" wx:mode="M"&gt;&lt;request&gt;&lt;representation mediaType="application/sep+xml" element="sep:FlowReservationRequest"/&gt;&lt;representation mediaType="application/sep-exi" element="sep:FlowReservationRequest"/&gt;&lt;/request&gt;&lt;response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07" s="1" t="str">
        <f>"&lt;method id="""&amp;Controls!G$1&amp;Controls!$B107&amp;""" name="""&amp;Controls!G$1&amp;""" wx:mode="""&amp;Controls!G107&amp;"""&gt;"&amp;IF(Controls!G107="E","&lt;response status=""400""/&gt;&lt;response status=""405""/&gt;","&lt;response&gt;&lt;representation mediaType=""application/xml"" element=""sep:"&amp;Controls!$V107&amp;"""/&gt;&lt;/response&gt;")&amp;"&lt;/method&gt;"</f>
        <v>&lt;method id="DELETEFlowReservationRequestList" name="DELETE" wx:mode="E"&gt;&lt;response status="400"/&gt;&lt;response status="405"/&gt;&lt;/method&gt;</v>
      </c>
      <c r="G107" s="1" t="str">
        <f ca="1">IF(ISBLANK(Controls!B107),"",OFFSET(Var!B$11,Controls!O107,0)&amp;"&lt;/resource&gt;")</f>
        <v>&lt;wx:sampleParam name="id1" style="template" type="idType"/&gt;&lt;/resource&gt;</v>
      </c>
      <c r="I107" s="6" t="str">
        <f>IF(Controls!K107,"&lt;request&gt;&lt;param name=""s"" style=""query"" type=""xsd:int""&gt;&lt;doc&gt;start&lt;/doc&gt;&lt;/param&gt;"&amp;IF(Controls!L107,"&lt;param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108" spans="1:9" ht="47.25" customHeight="1">
      <c r="A108" s="1" t="str">
        <f>"&lt;resource id="""&amp;Controls!B108&amp;""" "&amp;IF(0,"path=""{"&amp;Controls!B108&amp;"Path}""","")&amp;" wx:samplePath="""&amp;Controls!C108&amp;"""&gt;&lt;doc title="""&amp;Controls!$B108&amp;"""&gt;"&amp;Controls!P108&amp;"&lt;/doc&gt;"</f>
        <v>&lt;resource id="FlowReservationRequest"  wx:samplePath="/edev/{id1}/frq/{id2}"&gt;&lt;doc title="FlowReservationRequest"&gt;Specific FlowReservationRequest resource.  This resource can be thought of as a particular reservation event request for fast charging or discharging over a period of time.&lt;/doc&gt;</v>
      </c>
      <c r="B108" s="1" t="str">
        <f>"&lt;method id="""&amp;Controls!D$1&amp;Controls!$B108&amp;""" name="""&amp;Controls!D$1&amp;""" wx:mode="""&amp;Controls!D108&amp;"""&gt;"&amp;IF(Controls!D108="E","&lt;response status=""400""/&gt;&lt;response status=""405""/&gt;",I108&amp;"&lt;response&gt;&lt;representation mediaType="""&amp;Var!$B$18&amp;""" element=""sep:"&amp;Controls!$W108&amp;"""/&gt;&lt;representation mediaType="""&amp;Var!$B$19&amp;""" element=""sep:"&amp;Controls!$W108&amp;"""/&gt;&lt;/response&gt;")&amp;"&lt;/method&gt;"</f>
        <v>&lt;method id="GETFlowReservationRequest" name="GET" wx:mode="M"&gt;&lt;response&gt;&lt;representation mediaType="application/sep+xml" element="sep:FlowReservationRequest"/&gt;&lt;representation mediaType="application/sep-exi" element="sep:FlowReservationRequest"/&gt;&lt;/response&gt;&lt;/method&gt;</v>
      </c>
      <c r="C108" s="1" t="str">
        <f>"&lt;method id=""HEAD"&amp;Controls!$B108&amp;""" name=""HEAD"" wx:mode="""&amp;Controls!D108&amp;"""/&gt;"</f>
        <v>&lt;method id="HEADFlowReservationRequest" name="HEAD" wx:mode="M"/&gt;</v>
      </c>
      <c r="D108" s="1" t="str">
        <f>"&lt;method id="""&amp;Controls!E$1&amp;Controls!$B108&amp;""" name="""&amp;Controls!E$1&amp;""" wx:mode="""&amp;Controls!E108&amp;"""&gt;&lt;request&gt;&lt;representation mediaType="""&amp;Var!$B$18&amp;""" element=""sep:"&amp;Controls!$V108&amp;"""/&gt;&lt;representation mediaType="""&amp;Var!$B$19&amp;""" element=""sep:"&amp;Controls!$V108&amp;"""/&gt;&lt;/request&gt;"&amp;IF(Controls!E108="E","&lt;response status=""400""/&gt;&lt;response status=""405""/&gt;","")&amp;"&lt;/method&gt;"</f>
        <v>&lt;method id="PUTFlowReservationRequest" name="PUT" wx:mode="M"&gt;&lt;request&gt;&lt;representation mediaType="application/sep+xml" element="sep:FlowReservationRequest"/&gt;&lt;representation mediaType="application/sep-exi" element="sep:FlowReservationRequest"/&gt;&lt;/request&gt;&lt;/method&gt;</v>
      </c>
      <c r="E108" s="1" t="str">
        <f>"&lt;method id="""&amp;Controls!F$1&amp;Controls!$B108&amp;""" name="""&amp;Controls!F$1&amp;""" wx:mode="""&amp;Controls!F108&amp;"""&gt;"&amp;IF(Controls!B108="MirrorUsagePoint",Var!$B$21,"&lt;request&gt;&lt;representation mediaType="""&amp;Var!$B$18&amp;""" element=""sep:"&amp;Controls!$V108&amp;"""/&gt;&lt;representation mediaType="""&amp;Var!$B$19&amp;""" element=""sep:"&amp;Controls!$V108&amp;"""/&gt;&lt;/request&gt;")&amp;IF(Controls!F108="E","&lt;response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id="POSTFlowReservationRequest" name="POST" wx:mode="E"&gt;&lt;request&gt;&lt;representation mediaType="application/sep+xml" element="sep:FlowReservationRequest"/&gt;&lt;representation mediaType="application/sep-exi" element="sep:FlowReservationRequest"/&gt;&lt;/request&gt;&lt;response status="400"/&gt;&lt;response status="405"/&gt;&lt;/method&gt;</v>
      </c>
      <c r="F108" s="1" t="str">
        <f>"&lt;method id="""&amp;Controls!G$1&amp;Controls!$B108&amp;""" name="""&amp;Controls!G$1&amp;""" wx:mode="""&amp;Controls!G108&amp;"""&gt;"&amp;IF(Controls!G108="E","&lt;response status=""400""/&gt;&lt;response status=""405""/&gt;","&lt;response&gt;&lt;representation mediaType=""application/xml"" element=""sep:"&amp;Controls!$V108&amp;"""/&gt;&lt;/response&gt;")&amp;"&lt;/method&gt;"</f>
        <v>&lt;method id="DELETEFlowReservationRequest" name="DELETE" wx:mode="O"&gt;&lt;response&gt;&lt;representation mediaType="application/xml" element="sep:FlowReservationRequest"/&gt;&lt;/response&gt;&lt;/method&gt;</v>
      </c>
      <c r="G108" s="1" t="str">
        <f ca="1">IF(ISBLANK(Controls!B108),"",OFFSET(Var!B$11,Controls!O108,0)&amp;"&lt;/resource&gt;")</f>
        <v>&lt;wx:sampleParam name="id1" style="template" type="idType"/&gt;&lt;wx:sampleParam name="id2" style="template" type="idType"/&gt;&lt;/resource&gt;</v>
      </c>
      <c r="I108" s="6" t="str">
        <f>IF(Controls!K108,"&lt;request&gt;&lt;param name=""s"" style=""query"" type=""xsd:int""&gt;&lt;doc&gt;start&lt;/doc&gt;&lt;/param&gt;"&amp;IF(Controls!L108,"&lt;param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09" spans="1:9" ht="47.25" customHeight="1">
      <c r="A109" s="1" t="str">
        <f>"&lt;resource id="""&amp;Controls!B109&amp;""" "&amp;IF(0,"path=""{"&amp;Controls!B109&amp;"Path}""","")&amp;" wx:samplePath="""&amp;Controls!C109&amp;"""&gt;&lt;doc title="""&amp;Controls!$B109&amp;"""&gt;"&amp;Controls!P109&amp;"&lt;/doc&gt;"</f>
        <v>&lt;resource id="FlowReservationResponseList"  wx:samplePath="/edev/{id1}/frp"&gt;&lt;doc title="FlowReservationResponseList"&gt;List of FlowReservationResponses.  Devices implementing the FlowReservationResponseList resource MAY support multiple FlowReservationResponses.&lt;/doc&gt;</v>
      </c>
      <c r="B109" s="1" t="str">
        <f>"&lt;method id="""&amp;Controls!D$1&amp;Controls!$B109&amp;""" name="""&amp;Controls!D$1&amp;""" wx:mode="""&amp;Controls!D109&amp;"""&gt;"&amp;IF(Controls!D109="E","&lt;response status=""400""/&gt;&lt;response status=""405""/&gt;",I109&amp;"&lt;response&gt;&lt;representation mediaType="""&amp;Var!$B$18&amp;""" element=""sep:"&amp;Controls!$W109&amp;"""/&gt;&lt;representation mediaType="""&amp;Var!$B$19&amp;""" element=""sep:"&amp;Controls!$W109&amp;"""/&gt;&lt;/response&gt;")&amp;"&lt;/method&gt;"</f>
        <v>&lt;method id="GETFlowReservationResponseList"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element="sep:FlowReservationResponseList"/&gt;&lt;representation mediaType="application/sep-exi" element="sep:FlowReservationResponseList"/&gt;&lt;/response&gt;&lt;/method&gt;</v>
      </c>
      <c r="C109" s="1" t="str">
        <f>"&lt;method id=""HEAD"&amp;Controls!$B109&amp;""" name=""HEAD"" wx:mode="""&amp;Controls!D109&amp;"""/&gt;"</f>
        <v>&lt;method id="HEADFlowReservationResponseList" name="HEAD" wx:mode="M"/&gt;</v>
      </c>
      <c r="D109" s="1" t="str">
        <f>"&lt;method id="""&amp;Controls!E$1&amp;Controls!$B109&amp;""" name="""&amp;Controls!E$1&amp;""" wx:mode="""&amp;Controls!E109&amp;"""&gt;&lt;request&gt;&lt;representation mediaType="""&amp;Var!$B$18&amp;""" element=""sep:"&amp;Controls!$V109&amp;"""/&gt;&lt;representation mediaType="""&amp;Var!$B$19&amp;""" element=""sep:"&amp;Controls!$V109&amp;"""/&gt;&lt;/request&gt;"&amp;IF(Controls!E109="E","&lt;response status=""400""/&gt;&lt;response status=""405""/&gt;","")&amp;"&lt;/method&gt;"</f>
        <v>&lt;method id="PUTFlowReservationResponseList" name="PUT" wx:mode="E"&gt;&lt;request&gt;&lt;representation mediaType="application/sep+xml" element="sep:FlowReservationResponse"/&gt;&lt;representation mediaType="application/sep-exi" element="sep:FlowReservationResponse"/&gt;&lt;/request&gt;&lt;response status="400"/&gt;&lt;response status="405"/&gt;&lt;/method&gt;</v>
      </c>
      <c r="E109" s="1" t="str">
        <f>"&lt;method id="""&amp;Controls!F$1&amp;Controls!$B109&amp;""" name="""&amp;Controls!F$1&amp;""" wx:mode="""&amp;Controls!F109&amp;"""&gt;"&amp;IF(Controls!B109="MirrorUsagePoint",Var!$B$21,"&lt;request&gt;&lt;representation mediaType="""&amp;Var!$B$18&amp;""" element=""sep:"&amp;Controls!$V109&amp;"""/&gt;&lt;representation mediaType="""&amp;Var!$B$19&amp;""" element=""sep:"&amp;Controls!$V109&amp;"""/&gt;&lt;/request&gt;")&amp;IF(Controls!F109="E","&lt;response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id="POSTFlowReservationResponseList" name="POST" wx:mode="D"&gt;&lt;request&gt;&lt;representation mediaType="application/sep+xml" element="sep:FlowReservationResponse"/&gt;&lt;representation mediaType="application/sep-exi" element="sep:FlowReservationResponse"/&gt;&lt;/request&gt;&lt;response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09" s="1" t="str">
        <f>"&lt;method id="""&amp;Controls!G$1&amp;Controls!$B109&amp;""" name="""&amp;Controls!G$1&amp;""" wx:mode="""&amp;Controls!G109&amp;"""&gt;"&amp;IF(Controls!G109="E","&lt;response status=""400""/&gt;&lt;response status=""405""/&gt;","&lt;response&gt;&lt;representation mediaType=""application/xml"" element=""sep:"&amp;Controls!$V109&amp;"""/&gt;&lt;/response&gt;")&amp;"&lt;/method&gt;"</f>
        <v>&lt;method id="DELETEFlowReservationResponseList" name="DELETE" wx:mode="E"&gt;&lt;response status="400"/&gt;&lt;response status="405"/&gt;&lt;/method&gt;</v>
      </c>
      <c r="G109" s="1" t="str">
        <f ca="1">IF(ISBLANK(Controls!B109),"",OFFSET(Var!B$11,Controls!O109,0)&amp;"&lt;/resource&gt;")</f>
        <v>&lt;wx:sampleParam name="id1" style="template" type="idType"/&gt;&lt;/resource&gt;</v>
      </c>
      <c r="I109" s="6" t="str">
        <f>IF(Controls!K109,"&lt;request&gt;&lt;param name=""s"" style=""query"" type=""xsd:int""&gt;&lt;doc&gt;start&lt;/doc&gt;&lt;/param&gt;"&amp;IF(Controls!L109,"&lt;param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110" spans="1:9" ht="47.25" customHeight="1">
      <c r="A110" s="1" t="str">
        <f>"&lt;resource id="""&amp;Controls!B110&amp;""" "&amp;IF(0,"path=""{"&amp;Controls!B110&amp;"Path}""","")&amp;" wx:samplePath="""&amp;Controls!C110&amp;"""&gt;&lt;doc title="""&amp;Controls!$B110&amp;"""&gt;"&amp;Controls!P110&amp;"&lt;/doc&gt;"</f>
        <v>&lt;resource id="FlowReservationResponse"  wx:samplePath="/edev/{id1}/frp/{id2}"&gt;&lt;doc title="FlowReservationResponse"&gt;Specific FlowReservationResponse resource.  This resource can be thought of as a particular reservation event response for fast charging or discharging over a period of time.&lt;/doc&gt;</v>
      </c>
      <c r="B110" s="1" t="str">
        <f>"&lt;method id="""&amp;Controls!D$1&amp;Controls!$B110&amp;""" name="""&amp;Controls!D$1&amp;""" wx:mode="""&amp;Controls!D110&amp;"""&gt;"&amp;IF(Controls!D110="E","&lt;response status=""400""/&gt;&lt;response status=""405""/&gt;",I110&amp;"&lt;response&gt;&lt;representation mediaType="""&amp;Var!$B$18&amp;""" element=""sep:"&amp;Controls!$W110&amp;"""/&gt;&lt;representation mediaType="""&amp;Var!$B$19&amp;""" element=""sep:"&amp;Controls!$W110&amp;"""/&gt;&lt;/response&gt;")&amp;"&lt;/method&gt;"</f>
        <v>&lt;method id="GETFlowReservationResponse" name="GET" wx:mode="M"&gt;&lt;response&gt;&lt;representation mediaType="application/sep+xml" element="sep:FlowReservationResponse"/&gt;&lt;representation mediaType="application/sep-exi" element="sep:FlowReservationResponse"/&gt;&lt;/response&gt;&lt;/method&gt;</v>
      </c>
      <c r="C110" s="1" t="str">
        <f>"&lt;method id=""HEAD"&amp;Controls!$B110&amp;""" name=""HEAD"" wx:mode="""&amp;Controls!D110&amp;"""/&gt;"</f>
        <v>&lt;method id="HEADFlowReservationResponse" name="HEAD" wx:mode="M"/&gt;</v>
      </c>
      <c r="D110" s="1" t="str">
        <f>"&lt;method id="""&amp;Controls!E$1&amp;Controls!$B110&amp;""" name="""&amp;Controls!E$1&amp;""" wx:mode="""&amp;Controls!E110&amp;"""&gt;&lt;request&gt;&lt;representation mediaType="""&amp;Var!$B$18&amp;""" element=""sep:"&amp;Controls!$V110&amp;"""/&gt;&lt;representation mediaType="""&amp;Var!$B$19&amp;""" element=""sep:"&amp;Controls!$V110&amp;"""/&gt;&lt;/request&gt;"&amp;IF(Controls!E110="E","&lt;response status=""400""/&gt;&lt;response status=""405""/&gt;","")&amp;"&lt;/method&gt;"</f>
        <v>&lt;method id="PUTFlowReservationResponse" name="PUT" wx:mode="E"&gt;&lt;request&gt;&lt;representation mediaType="application/sep+xml" element="sep:FlowReservationResponse"/&gt;&lt;representation mediaType="application/sep-exi" element="sep:FlowReservationResponse"/&gt;&lt;/request&gt;&lt;response status="400"/&gt;&lt;response status="405"/&gt;&lt;/method&gt;</v>
      </c>
      <c r="E110" s="1" t="str">
        <f>"&lt;method id="""&amp;Controls!F$1&amp;Controls!$B110&amp;""" name="""&amp;Controls!F$1&amp;""" wx:mode="""&amp;Controls!F110&amp;"""&gt;"&amp;IF(Controls!B110="MirrorUsagePoint",Var!$B$21,"&lt;request&gt;&lt;representation mediaType="""&amp;Var!$B$18&amp;""" element=""sep:"&amp;Controls!$V110&amp;"""/&gt;&lt;representation mediaType="""&amp;Var!$B$19&amp;""" element=""sep:"&amp;Controls!$V110&amp;"""/&gt;&lt;/request&gt;")&amp;IF(Controls!F110="E","&lt;response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id="POSTFlowReservationResponse" name="POST" wx:mode="E"&gt;&lt;request&gt;&lt;representation mediaType="application/sep+xml" element="sep:FlowReservationResponse"/&gt;&lt;representation mediaType="application/sep-exi" element="sep:FlowReservationResponse"/&gt;&lt;/request&gt;&lt;response status="400"/&gt;&lt;response status="405"/&gt;&lt;/method&gt;</v>
      </c>
      <c r="F110" s="1" t="str">
        <f>"&lt;method id="""&amp;Controls!G$1&amp;Controls!$B110&amp;""" name="""&amp;Controls!G$1&amp;""" wx:mode="""&amp;Controls!G110&amp;"""&gt;"&amp;IF(Controls!G110="E","&lt;response status=""400""/&gt;&lt;response status=""405""/&gt;","&lt;response&gt;&lt;representation mediaType=""application/xml"" element=""sep:"&amp;Controls!$V110&amp;"""/&gt;&lt;/response&gt;")&amp;"&lt;/method&gt;"</f>
        <v>&lt;method id="DELETEFlowReservationResponse" name="DELETE" wx:mode="D"&gt;&lt;response&gt;&lt;representation mediaType="application/xml" element="sep:FlowReservationResponse"/&gt;&lt;/response&gt;&lt;/method&gt;</v>
      </c>
      <c r="G110" s="1" t="str">
        <f ca="1">IF(ISBLANK(Controls!B110),"",OFFSET(Var!B$11,Controls!O110,0)&amp;"&lt;/resource&gt;")</f>
        <v>&lt;wx:sampleParam name="id1" style="template" type="idType"/&gt;&lt;wx:sampleParam name="id2" style="template" type="idType"/&gt;&lt;/resource&gt;</v>
      </c>
      <c r="I110" s="6" t="str">
        <f>IF(Controls!K110,"&lt;request&gt;&lt;param name=""s"" style=""query"" type=""xsd:int""&gt;&lt;doc&gt;start&lt;/doc&gt;&lt;/param&gt;"&amp;IF(Controls!L110,"&lt;param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1" spans="1:9" ht="47.25" customHeight="1">
      <c r="A111" s="1" t="str">
        <f>"&lt;resource id="""&amp;Controls!B111&amp;""" "&amp;IF(0,"path=""{"&amp;Controls!B111&amp;"Path}""","")&amp;" wx:samplePath="""&amp;Controls!C111&amp;"""&gt;&lt;doc title="""&amp;Controls!$B111&amp;"""&gt;"&amp;Controls!P111&amp;"&lt;/doc&gt;"</f>
        <v>&lt;resource id="DERList"  wx:samplePath="/edev/{id1}/der"&gt;&lt;doc title="DERList"&gt;A list of Distributed Energy Resources&lt;/doc&gt;</v>
      </c>
      <c r="B111" s="1" t="str">
        <f>"&lt;method id="""&amp;Controls!D$1&amp;Controls!$B111&amp;""" name="""&amp;Controls!D$1&amp;""" wx:mode="""&amp;Controls!D111&amp;"""&gt;"&amp;IF(Controls!D111="E","&lt;response status=""400""/&gt;&lt;response status=""405""/&gt;",I111&amp;"&lt;response&gt;&lt;representation mediaType="""&amp;Var!$B$18&amp;""" element=""sep:"&amp;Controls!$W111&amp;"""/&gt;&lt;representation mediaType="""&amp;Var!$B$19&amp;""" element=""sep:"&amp;Controls!$W111&amp;"""/&gt;&lt;/response&gt;")&amp;"&lt;/method&gt;"</f>
        <v>&lt;method id="GETDERList"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element="sep:DERList"/&gt;&lt;representation mediaType="application/sep-exi" element="sep:DERList"/&gt;&lt;/response&gt;&lt;/method&gt;</v>
      </c>
      <c r="C111" s="1" t="str">
        <f>"&lt;method id=""HEAD"&amp;Controls!$B111&amp;""" name=""HEAD"" wx:mode="""&amp;Controls!D111&amp;"""/&gt;"</f>
        <v>&lt;method id="HEADDERList" name="HEAD" wx:mode="M"/&gt;</v>
      </c>
      <c r="D111" s="1" t="str">
        <f>"&lt;method id="""&amp;Controls!E$1&amp;Controls!$B111&amp;""" name="""&amp;Controls!E$1&amp;""" wx:mode="""&amp;Controls!E111&amp;"""&gt;&lt;request&gt;&lt;representation mediaType="""&amp;Var!$B$18&amp;""" element=""sep:"&amp;Controls!$V111&amp;"""/&gt;&lt;representation mediaType="""&amp;Var!$B$19&amp;""" element=""sep:"&amp;Controls!$V111&amp;"""/&gt;&lt;/request&gt;"&amp;IF(Controls!E111="E","&lt;response status=""400""/&gt;&lt;response status=""405""/&gt;","")&amp;"&lt;/method&gt;"</f>
        <v>&lt;method id="PUTDERList" name="PUT" wx:mode="E"&gt;&lt;request&gt;&lt;representation mediaType="application/sep+xml" element="sep:DER"/&gt;&lt;representation mediaType="application/sep-exi" element="sep:DER"/&gt;&lt;/request&gt;&lt;response status="400"/&gt;&lt;response status="405"/&gt;&lt;/method&gt;</v>
      </c>
      <c r="E111" s="1" t="str">
        <f>"&lt;method id="""&amp;Controls!F$1&amp;Controls!$B111&amp;""" name="""&amp;Controls!F$1&amp;""" wx:mode="""&amp;Controls!F111&amp;"""&gt;"&amp;IF(Controls!B111="MirrorUsagePoint",Var!$B$21,"&lt;request&gt;&lt;representation mediaType="""&amp;Var!$B$18&amp;""" element=""sep:"&amp;Controls!$V111&amp;"""/&gt;&lt;representation mediaType="""&amp;Var!$B$19&amp;""" element=""sep:"&amp;Controls!$V111&amp;"""/&gt;&lt;/request&gt;")&amp;IF(Controls!F111="E","&lt;response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id="POSTDERList" name="POST" wx:mode="O"&gt;&lt;request&gt;&lt;representation mediaType="application/sep+xml" element="sep:DER"/&gt;&lt;representation mediaType="application/sep-exi" element="sep:DER"/&gt;&lt;/request&gt;&lt;response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11" s="1" t="str">
        <f>"&lt;method id="""&amp;Controls!G$1&amp;Controls!$B111&amp;""" name="""&amp;Controls!G$1&amp;""" wx:mode="""&amp;Controls!G111&amp;"""&gt;"&amp;IF(Controls!G111="E","&lt;response status=""400""/&gt;&lt;response status=""405""/&gt;","&lt;response&gt;&lt;representation mediaType=""application/xml"" element=""sep:"&amp;Controls!$V111&amp;"""/&gt;&lt;/response&gt;")&amp;"&lt;/method&gt;"</f>
        <v>&lt;method id="DELETEDERList" name="DELETE" wx:mode="E"&gt;&lt;response status="400"/&gt;&lt;response status="405"/&gt;&lt;/method&gt;</v>
      </c>
      <c r="G111" s="1" t="str">
        <f ca="1">IF(ISBLANK(Controls!B111),"",OFFSET(Var!B$11,Controls!O111,0)&amp;"&lt;/resource&gt;")</f>
        <v>&lt;wx:sampleParam name="id1" style="template" type="idType"/&gt;&lt;/resource&gt;</v>
      </c>
      <c r="I111" s="6" t="str">
        <f>IF(Controls!K111,"&lt;request&gt;&lt;param name=""s"" style=""query"" type=""xsd:int""&gt;&lt;doc&gt;start&lt;/doc&gt;&lt;/param&gt;"&amp;IF(Controls!L111,"&lt;param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12" spans="1:9" ht="47.25" customHeight="1">
      <c r="A112" s="1" t="str">
        <f>"&lt;resource id="""&amp;Controls!B112&amp;""" "&amp;IF(0,"path=""{"&amp;Controls!B112&amp;"Path}""","")&amp;" wx:samplePath="""&amp;Controls!C112&amp;"""&gt;&lt;doc title="""&amp;Controls!$B112&amp;"""&gt;"&amp;Controls!P112&amp;"&lt;/doc&gt;"</f>
        <v>&lt;resource id="DER"  wx:samplePath="/edev/{id1}/der/{id2}"&gt;&lt;doc title="DER"&gt;The information about a specific Distributed Energy Resource.&lt;/doc&gt;</v>
      </c>
      <c r="B112" s="1" t="str">
        <f>"&lt;method id="""&amp;Controls!D$1&amp;Controls!$B112&amp;""" name="""&amp;Controls!D$1&amp;""" wx:mode="""&amp;Controls!D112&amp;"""&gt;"&amp;IF(Controls!D112="E","&lt;response status=""400""/&gt;&lt;response status=""405""/&gt;",I112&amp;"&lt;response&gt;&lt;representation mediaType="""&amp;Var!$B$18&amp;""" element=""sep:"&amp;Controls!$W112&amp;"""/&gt;&lt;representation mediaType="""&amp;Var!$B$19&amp;""" element=""sep:"&amp;Controls!$W112&amp;"""/&gt;&lt;/response&gt;")&amp;"&lt;/method&gt;"</f>
        <v>&lt;method id="GETDER" name="GET" wx:mode="M"&gt;&lt;response&gt;&lt;representation mediaType="application/sep+xml" element="sep:DER"/&gt;&lt;representation mediaType="application/sep-exi" element="sep:DER"/&gt;&lt;/response&gt;&lt;/method&gt;</v>
      </c>
      <c r="C112" s="1" t="str">
        <f>"&lt;method id=""HEAD"&amp;Controls!$B112&amp;""" name=""HEAD"" wx:mode="""&amp;Controls!D112&amp;"""/&gt;"</f>
        <v>&lt;method id="HEADDER" name="HEAD" wx:mode="M"/&gt;</v>
      </c>
      <c r="D112" s="1" t="str">
        <f>"&lt;method id="""&amp;Controls!E$1&amp;Controls!$B112&amp;""" name="""&amp;Controls!E$1&amp;""" wx:mode="""&amp;Controls!E112&amp;"""&gt;&lt;request&gt;&lt;representation mediaType="""&amp;Var!$B$18&amp;""" element=""sep:"&amp;Controls!$V112&amp;"""/&gt;&lt;representation mediaType="""&amp;Var!$B$19&amp;""" element=""sep:"&amp;Controls!$V112&amp;"""/&gt;&lt;/request&gt;"&amp;IF(Controls!E112="E","&lt;response status=""400""/&gt;&lt;response status=""405""/&gt;","")&amp;"&lt;/method&gt;"</f>
        <v>&lt;method id="PUTDER" name="PUT" wx:mode="O"&gt;&lt;request&gt;&lt;representation mediaType="application/sep+xml" element="sep:DER"/&gt;&lt;representation mediaType="application/sep-exi" element="sep:DER"/&gt;&lt;/request&gt;&lt;/method&gt;</v>
      </c>
      <c r="E112" s="1" t="str">
        <f>"&lt;method id="""&amp;Controls!F$1&amp;Controls!$B112&amp;""" name="""&amp;Controls!F$1&amp;""" wx:mode="""&amp;Controls!F112&amp;"""&gt;"&amp;IF(Controls!B112="MirrorUsagePoint",Var!$B$21,"&lt;request&gt;&lt;representation mediaType="""&amp;Var!$B$18&amp;""" element=""sep:"&amp;Controls!$V112&amp;"""/&gt;&lt;representation mediaType="""&amp;Var!$B$19&amp;""" element=""sep:"&amp;Controls!$V112&amp;"""/&gt;&lt;/request&gt;")&amp;IF(Controls!F112="E","&lt;response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id="POSTDER" name="POST" wx:mode="E"&gt;&lt;request&gt;&lt;representation mediaType="application/sep+xml" element="sep:DER"/&gt;&lt;representation mediaType="application/sep-exi" element="sep:DER"/&gt;&lt;/request&gt;&lt;response status="400"/&gt;&lt;response status="405"/&gt;&lt;/method&gt;</v>
      </c>
      <c r="F112" s="1" t="str">
        <f>"&lt;method id="""&amp;Controls!G$1&amp;Controls!$B112&amp;""" name="""&amp;Controls!G$1&amp;""" wx:mode="""&amp;Controls!G112&amp;"""&gt;"&amp;IF(Controls!G112="E","&lt;response status=""400""/&gt;&lt;response status=""405""/&gt;","&lt;response&gt;&lt;representation mediaType=""application/xml"" element=""sep:"&amp;Controls!$V112&amp;"""/&gt;&lt;/response&gt;")&amp;"&lt;/method&gt;"</f>
        <v>&lt;method id="DELETEDER" name="DELETE" wx:mode="O"&gt;&lt;response&gt;&lt;representation mediaType="application/xml" element="sep:DER"/&gt;&lt;/response&gt;&lt;/method&gt;</v>
      </c>
      <c r="G112" s="1" t="str">
        <f ca="1">IF(ISBLANK(Controls!B112),"",OFFSET(Var!B$11,Controls!O112,0)&amp;"&lt;/resource&gt;")</f>
        <v>&lt;wx:sampleParam name="id1" style="template" type="idType"/&gt;&lt;wx:sampleParam name="id2" style="template" type="idType"/&gt;&lt;/resource&gt;</v>
      </c>
      <c r="I112" s="6" t="str">
        <f>IF(Controls!K112,"&lt;request&gt;&lt;param name=""s"" style=""query"" type=""xsd:int""&gt;&lt;doc&gt;start&lt;/doc&gt;&lt;/param&gt;"&amp;IF(Controls!L112,"&lt;param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3" spans="1:9" ht="47.25" customHeight="1">
      <c r="A113" s="1" t="str">
        <f>"&lt;resource id="""&amp;Controls!B113&amp;""" "&amp;IF(0,"path=""{"&amp;Controls!B113&amp;"Path}""","")&amp;" wx:samplePath="""&amp;Controls!C113&amp;"""&gt;&lt;doc title="""&amp;Controls!$B113&amp;"""&gt;"&amp;Controls!P113&amp;"&lt;/doc&gt;"</f>
        <v>&lt;resource id="AssociatedUsagePoint"  wx:samplePath="/edev/{id1}/der/{id2}/upt"&gt;&lt;doc title="AssociatedUsagePoint"&gt;The usage point associated with this DER instance. &lt;/doc&gt;</v>
      </c>
      <c r="B113" s="1" t="str">
        <f>"&lt;method id="""&amp;Controls!D$1&amp;Controls!$B113&amp;""" name="""&amp;Controls!D$1&amp;""" wx:mode="""&amp;Controls!D113&amp;"""&gt;"&amp;IF(Controls!D113="E","&lt;response status=""400""/&gt;&lt;response status=""405""/&gt;",I113&amp;"&lt;response&gt;&lt;representation mediaType="""&amp;Var!$B$18&amp;""" element=""sep:"&amp;Controls!$W113&amp;"""/&gt;&lt;representation mediaType="""&amp;Var!$B$19&amp;""" element=""sep:"&amp;Controls!$W113&amp;"""/&gt;&lt;/response&gt;")&amp;"&lt;/method&gt;"</f>
        <v>&lt;method id="GETAssociatedUsagePoint" name="GET" wx:mode="M"&gt;&lt;response&gt;&lt;representation mediaType="application/sep+xml" element="sep:UsagePoint"/&gt;&lt;representation mediaType="application/sep-exi" element="sep:UsagePoint"/&gt;&lt;/response&gt;&lt;/method&gt;</v>
      </c>
      <c r="C113" s="1" t="str">
        <f>"&lt;method id=""HEAD"&amp;Controls!$B113&amp;""" name=""HEAD"" wx:mode="""&amp;Controls!D113&amp;"""/&gt;"</f>
        <v>&lt;method id="HEADAssociatedUsagePoint" name="HEAD" wx:mode="M"/&gt;</v>
      </c>
      <c r="D113" s="1" t="str">
        <f>"&lt;method id="""&amp;Controls!E$1&amp;Controls!$B113&amp;""" name="""&amp;Controls!E$1&amp;""" wx:mode="""&amp;Controls!E113&amp;"""&gt;&lt;request&gt;&lt;representation mediaType="""&amp;Var!$B$18&amp;""" element=""sep:"&amp;Controls!$V113&amp;"""/&gt;&lt;representation mediaType="""&amp;Var!$B$19&amp;""" element=""sep:"&amp;Controls!$V113&amp;"""/&gt;&lt;/request&gt;"&amp;IF(Controls!E113="E","&lt;response status=""400""/&gt;&lt;response status=""405""/&gt;","")&amp;"&lt;/method&gt;"</f>
        <v>&lt;method id="PUTAssociatedUsagePoint" name="PUT" wx:mode="E"&gt;&lt;request&gt;&lt;representation mediaType="application/sep+xml" element="sep:UsagePoint"/&gt;&lt;representation mediaType="application/sep-exi" element="sep:UsagePoint"/&gt;&lt;/request&gt;&lt;response status="400"/&gt;&lt;response status="405"/&gt;&lt;/method&gt;</v>
      </c>
      <c r="E113" s="1" t="str">
        <f>"&lt;method id="""&amp;Controls!F$1&amp;Controls!$B113&amp;""" name="""&amp;Controls!F$1&amp;""" wx:mode="""&amp;Controls!F113&amp;"""&gt;"&amp;IF(Controls!B113="MirrorUsagePoint",Var!$B$21,"&lt;request&gt;&lt;representation mediaType="""&amp;Var!$B$18&amp;""" element=""sep:"&amp;Controls!$V113&amp;"""/&gt;&lt;representation mediaType="""&amp;Var!$B$19&amp;""" element=""sep:"&amp;Controls!$V113&amp;"""/&gt;&lt;/request&gt;")&amp;IF(Controls!F113="E","&lt;response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id="POSTAssociatedUsagePoint" name="POST" wx:mode="E"&gt;&lt;request&gt;&lt;representation mediaType="application/sep+xml" element="sep:UsagePoint"/&gt;&lt;representation mediaType="application/sep-exi" element="sep:UsagePoint"/&gt;&lt;/request&gt;&lt;response status="400"/&gt;&lt;response status="405"/&gt;&lt;/method&gt;</v>
      </c>
      <c r="F113" s="1" t="str">
        <f>"&lt;method id="""&amp;Controls!G$1&amp;Controls!$B113&amp;""" name="""&amp;Controls!G$1&amp;""" wx:mode="""&amp;Controls!G113&amp;"""&gt;"&amp;IF(Controls!G113="E","&lt;response status=""400""/&gt;&lt;response status=""405""/&gt;","&lt;response&gt;&lt;representation mediaType=""application/xml"" element=""sep:"&amp;Controls!$V113&amp;"""/&gt;&lt;/response&gt;")&amp;"&lt;/method&gt;"</f>
        <v>&lt;method id="DELETEAssociatedUsagePoint" name="DELETE" wx:mode="O"&gt;&lt;response&gt;&lt;representation mediaType="application/xml" element="sep:UsagePoint"/&gt;&lt;/response&gt;&lt;/method&gt;</v>
      </c>
      <c r="G113" s="1" t="str">
        <f ca="1">IF(ISBLANK(Controls!B113),"",OFFSET(Var!B$11,Controls!O113,0)&amp;"&lt;/resource&gt;")</f>
        <v>&lt;wx:sampleParam name="id1" style="template" type="idType"/&gt;&lt;wx:sampleParam name="id2" style="template" type="idType"/&gt;&lt;/resource&gt;</v>
      </c>
      <c r="I113" s="6" t="str">
        <f>IF(Controls!K113,"&lt;request&gt;&lt;param name=""s"" style=""query"" type=""xsd:int""&gt;&lt;doc&gt;start&lt;/doc&gt;&lt;/param&gt;"&amp;IF(Controls!L113,"&lt;param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4" spans="1:9" ht="47.25" customHeight="1">
      <c r="A114" s="1" t="str">
        <f>"&lt;resource id="""&amp;Controls!B114&amp;""" "&amp;IF(0,"path=""{"&amp;Controls!B114&amp;"Path}""","")&amp;" wx:samplePath="""&amp;Controls!C114&amp;"""&gt;&lt;doc title="""&amp;Controls!$B114&amp;"""&gt;"&amp;Controls!P114&amp;"&lt;/doc&gt;"</f>
        <v>&lt;resource id="AssociatedDERProgramList"  wx:samplePath="/edev/{id1}/der/{id2}/derp"&gt;&lt;doc title="AssociatedDERProgramList"&gt;The List of DERProgram instances associated with this DER.&lt;/doc&gt;</v>
      </c>
      <c r="B114" s="1" t="str">
        <f>"&lt;method id="""&amp;Controls!D$1&amp;Controls!$B114&amp;""" name="""&amp;Controls!D$1&amp;""" wx:mode="""&amp;Controls!D114&amp;"""&gt;"&amp;IF(Controls!D114="E","&lt;response status=""400""/&gt;&lt;response status=""405""/&gt;",I114&amp;"&lt;response&gt;&lt;representation mediaType="""&amp;Var!$B$18&amp;""" element=""sep:"&amp;Controls!$W114&amp;"""/&gt;&lt;representation mediaType="""&amp;Var!$B$19&amp;""" element=""sep:"&amp;Controls!$W114&amp;"""/&gt;&lt;/response&gt;")&amp;"&lt;/method&gt;"</f>
        <v>&lt;method id="GETAssociatedDERProgramList"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element="sep:DERProgramList"/&gt;&lt;representation mediaType="application/sep-exi" element="sep:DERProgramList"/&gt;&lt;/response&gt;&lt;/method&gt;</v>
      </c>
      <c r="C114" s="1" t="str">
        <f>"&lt;method id=""HEAD"&amp;Controls!$B114&amp;""" name=""HEAD"" wx:mode="""&amp;Controls!D114&amp;"""/&gt;"</f>
        <v>&lt;method id="HEADAssociatedDERProgramList" name="HEAD" wx:mode="M"/&gt;</v>
      </c>
      <c r="D114" s="1" t="str">
        <f>"&lt;method id="""&amp;Controls!E$1&amp;Controls!$B114&amp;""" name="""&amp;Controls!E$1&amp;""" wx:mode="""&amp;Controls!E114&amp;"""&gt;&lt;request&gt;&lt;representation mediaType="""&amp;Var!$B$18&amp;""" element=""sep:"&amp;Controls!$V114&amp;"""/&gt;&lt;representation mediaType="""&amp;Var!$B$19&amp;""" element=""sep:"&amp;Controls!$V114&amp;"""/&gt;&lt;/request&gt;"&amp;IF(Controls!E114="E","&lt;response status=""400""/&gt;&lt;response status=""405""/&gt;","")&amp;"&lt;/method&gt;"</f>
        <v>&lt;method id="PUTAssociatedDERProgramList" name="PUT" wx:mode="E"&gt;&lt;request&gt;&lt;representation mediaType="application/sep+xml" element="sep:DERProgram"/&gt;&lt;representation mediaType="application/sep-exi" element="sep:DERProgram"/&gt;&lt;/request&gt;&lt;response status="400"/&gt;&lt;response status="405"/&gt;&lt;/method&gt;</v>
      </c>
      <c r="E114" s="1" t="str">
        <f>"&lt;method id="""&amp;Controls!F$1&amp;Controls!$B114&amp;""" name="""&amp;Controls!F$1&amp;""" wx:mode="""&amp;Controls!F114&amp;"""&gt;"&amp;IF(Controls!B114="MirrorUsagePoint",Var!$B$21,"&lt;request&gt;&lt;representation mediaType="""&amp;Var!$B$18&amp;""" element=""sep:"&amp;Controls!$V114&amp;"""/&gt;&lt;representation mediaType="""&amp;Var!$B$19&amp;""" element=""sep:"&amp;Controls!$V114&amp;"""/&gt;&lt;/request&gt;")&amp;IF(Controls!F114="E","&lt;response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id="POSTAssociatedDERProgramList" name="POST" wx:mode="O"&gt;&lt;request&gt;&lt;representation mediaType="application/sep+xml" element="sep:DERProgram"/&gt;&lt;representation mediaType="application/sep-exi" element="sep:DERProgram"/&gt;&lt;/request&gt;&lt;response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14" s="1" t="str">
        <f>"&lt;method id="""&amp;Controls!G$1&amp;Controls!$B114&amp;""" name="""&amp;Controls!G$1&amp;""" wx:mode="""&amp;Controls!G114&amp;"""&gt;"&amp;IF(Controls!G114="E","&lt;response status=""400""/&gt;&lt;response status=""405""/&gt;","&lt;response&gt;&lt;representation mediaType=""application/xml"" element=""sep:"&amp;Controls!$V114&amp;"""/&gt;&lt;/response&gt;")&amp;"&lt;/method&gt;"</f>
        <v>&lt;method id="DELETEAssociatedDERProgramList" name="DELETE" wx:mode="E"&gt;&lt;response status="400"/&gt;&lt;response status="405"/&gt;&lt;/method&gt;</v>
      </c>
      <c r="G114" s="1" t="str">
        <f ca="1">IF(ISBLANK(Controls!B114),"",OFFSET(Var!B$11,Controls!O114,0)&amp;"&lt;/resource&gt;")</f>
        <v>&lt;wx:sampleParam name="id1" style="template" type="idType"/&gt;&lt;wx:sampleParam name="id2" style="template" type="idType"/&gt;&lt;/resource&gt;</v>
      </c>
      <c r="I114" s="6" t="str">
        <f>IF(Controls!K114,"&lt;request&gt;&lt;param name=""s"" style=""query"" type=""xsd:int""&gt;&lt;doc&gt;start&lt;/doc&gt;&lt;/param&gt;"&amp;IF(Controls!L114,"&lt;param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15" spans="1:9" ht="47.25" customHeight="1">
      <c r="A115" s="1" t="str">
        <f>"&lt;resource id="""&amp;Controls!B115&amp;""" "&amp;IF(0,"path=""{"&amp;Controls!B115&amp;"Path}""","")&amp;" wx:samplePath="""&amp;Controls!C115&amp;"""&gt;&lt;doc title="""&amp;Controls!$B115&amp;"""&gt;"&amp;Controls!P115&amp;"&lt;/doc&gt;"</f>
        <v>&lt;resource id="CurrentDERProgram"  wx:samplePath="/edev/{id1}/der/{id2}/cdp"&gt;&lt;doc title="CurrentDERProgram"&gt;The specific DER Control Program being followed by the DER. &lt;/doc&gt;</v>
      </c>
      <c r="B115" s="1" t="str">
        <f>"&lt;method id="""&amp;Controls!D$1&amp;Controls!$B115&amp;""" name="""&amp;Controls!D$1&amp;""" wx:mode="""&amp;Controls!D115&amp;"""&gt;"&amp;IF(Controls!D115="E","&lt;response status=""400""/&gt;&lt;response status=""405""/&gt;",I115&amp;"&lt;response&gt;&lt;representation mediaType="""&amp;Var!$B$18&amp;""" element=""sep:"&amp;Controls!$W115&amp;"""/&gt;&lt;representation mediaType="""&amp;Var!$B$19&amp;""" element=""sep:"&amp;Controls!$W115&amp;"""/&gt;&lt;/response&gt;")&amp;"&lt;/method&gt;"</f>
        <v>&lt;method id="GETCurrentDERProgram" name="GET" wx:mode="M"&gt;&lt;response&gt;&lt;representation mediaType="application/sep+xml" element="sep:DERProgram"/&gt;&lt;representation mediaType="application/sep-exi" element="sep:DERProgram"/&gt;&lt;/response&gt;&lt;/method&gt;</v>
      </c>
      <c r="C115" s="1" t="str">
        <f>"&lt;method id=""HEAD"&amp;Controls!$B115&amp;""" name=""HEAD"" wx:mode="""&amp;Controls!D115&amp;"""/&gt;"</f>
        <v>&lt;method id="HEADCurrentDERProgram" name="HEAD" wx:mode="M"/&gt;</v>
      </c>
      <c r="D115" s="1" t="str">
        <f>"&lt;method id="""&amp;Controls!E$1&amp;Controls!$B115&amp;""" name="""&amp;Controls!E$1&amp;""" wx:mode="""&amp;Controls!E115&amp;"""&gt;&lt;request&gt;&lt;representation mediaType="""&amp;Var!$B$18&amp;""" element=""sep:"&amp;Controls!$V115&amp;"""/&gt;&lt;representation mediaType="""&amp;Var!$B$19&amp;""" element=""sep:"&amp;Controls!$V115&amp;"""/&gt;&lt;/request&gt;"&amp;IF(Controls!E115="E","&lt;response status=""400""/&gt;&lt;response status=""405""/&gt;","")&amp;"&lt;/method&gt;"</f>
        <v>&lt;method id="PUTCurrentDERProgram" name="PUT" wx:mode="E"&gt;&lt;request&gt;&lt;representation mediaType="application/sep+xml" element="sep:DERProgram"/&gt;&lt;representation mediaType="application/sep-exi" element="sep:DERProgram"/&gt;&lt;/request&gt;&lt;response status="400"/&gt;&lt;response status="405"/&gt;&lt;/method&gt;</v>
      </c>
      <c r="E115" s="1" t="str">
        <f>"&lt;method id="""&amp;Controls!F$1&amp;Controls!$B115&amp;""" name="""&amp;Controls!F$1&amp;""" wx:mode="""&amp;Controls!F115&amp;"""&gt;"&amp;IF(Controls!B115="MirrorUsagePoint",Var!$B$21,"&lt;request&gt;&lt;representation mediaType="""&amp;Var!$B$18&amp;""" element=""sep:"&amp;Controls!$V115&amp;"""/&gt;&lt;representation mediaType="""&amp;Var!$B$19&amp;""" element=""sep:"&amp;Controls!$V115&amp;"""/&gt;&lt;/request&gt;")&amp;IF(Controls!F115="E","&lt;response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id="POSTCurrentDERProgram" name="POST" wx:mode="E"&gt;&lt;request&gt;&lt;representation mediaType="application/sep+xml" element="sep:DERProgram"/&gt;&lt;representation mediaType="application/sep-exi" element="sep:DERProgram"/&gt;&lt;/request&gt;&lt;response status="400"/&gt;&lt;response status="405"/&gt;&lt;/method&gt;</v>
      </c>
      <c r="F115" s="1" t="str">
        <f>"&lt;method id="""&amp;Controls!G$1&amp;Controls!$B115&amp;""" name="""&amp;Controls!G$1&amp;""" wx:mode="""&amp;Controls!G115&amp;"""&gt;"&amp;IF(Controls!G115="E","&lt;response status=""400""/&gt;&lt;response status=""405""/&gt;","&lt;response&gt;&lt;representation mediaType=""application/xml"" element=""sep:"&amp;Controls!$V115&amp;"""/&gt;&lt;/response&gt;")&amp;"&lt;/method&gt;"</f>
        <v>&lt;method id="DELETECurrentDERProgram" name="DELETE" wx:mode="O"&gt;&lt;response&gt;&lt;representation mediaType="application/xml" element="sep:DERProgram"/&gt;&lt;/response&gt;&lt;/method&gt;</v>
      </c>
      <c r="G115" s="1" t="str">
        <f ca="1">IF(ISBLANK(Controls!B115),"",OFFSET(Var!B$11,Controls!O115,0)&amp;"&lt;/resource&gt;")</f>
        <v>&lt;wx:sampleParam name="id1" style="template" type="idType"/&gt;&lt;wx:sampleParam name="id2" style="template" type="idType"/&gt;&lt;/resource&gt;</v>
      </c>
      <c r="I115" s="6" t="str">
        <f>IF(Controls!K115,"&lt;request&gt;&lt;param name=""s"" style=""query"" type=""xsd:int""&gt;&lt;doc&gt;start&lt;/doc&gt;&lt;/param&gt;"&amp;IF(Controls!L115,"&lt;param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6" spans="1:9" ht="46.5" customHeight="1">
      <c r="A116" s="1" t="str">
        <f>"&lt;resource id="""&amp;Controls!B116&amp;""" "&amp;IF(0,"path=""{"&amp;Controls!B116&amp;"Path}""","")&amp;" wx:samplePath="""&amp;Controls!C116&amp;"""&gt;&lt;doc title="""&amp;Controls!$B116&amp;"""&gt;"&amp;Controls!P116&amp;"&lt;/doc&gt;"</f>
        <v>&lt;resource id="DERSettings"  wx:samplePath="/edev/{id1}/der/{id2}/derg"&gt;&lt;doc title="DERSettings"&gt;The DER settings of the associated EndDevice or SelfDevice.&lt;/doc&gt;</v>
      </c>
      <c r="B116" s="1" t="str">
        <f>"&lt;method id="""&amp;Controls!D$1&amp;Controls!$B116&amp;""" name="""&amp;Controls!D$1&amp;""" wx:mode="""&amp;Controls!D116&amp;"""&gt;"&amp;IF(Controls!D116="E","&lt;response status=""400""/&gt;&lt;response status=""405""/&gt;",I116&amp;"&lt;response&gt;&lt;representation mediaType="""&amp;Var!$B$18&amp;""" element=""sep:"&amp;Controls!$W116&amp;"""/&gt;&lt;representation mediaType="""&amp;Var!$B$19&amp;""" element=""sep:"&amp;Controls!$W116&amp;"""/&gt;&lt;/response&gt;")&amp;"&lt;/method&gt;"</f>
        <v>&lt;method id="GETDERSettings" name="GET" wx:mode="M"&gt;&lt;response&gt;&lt;representation mediaType="application/sep+xml" element="sep:DERSettings"/&gt;&lt;representation mediaType="application/sep-exi" element="sep:DERSettings"/&gt;&lt;/response&gt;&lt;/method&gt;</v>
      </c>
      <c r="C116" s="1" t="str">
        <f>"&lt;method id=""HEAD"&amp;Controls!$B116&amp;""" name=""HEAD"" wx:mode="""&amp;Controls!D116&amp;"""/&gt;"</f>
        <v>&lt;method id="HEADDERSettings" name="HEAD" wx:mode="M"/&gt;</v>
      </c>
      <c r="D116" s="1" t="str">
        <f>"&lt;method id="""&amp;Controls!E$1&amp;Controls!$B116&amp;""" name="""&amp;Controls!E$1&amp;""" wx:mode="""&amp;Controls!E116&amp;"""&gt;&lt;request&gt;&lt;representation mediaType="""&amp;Var!$B$18&amp;""" element=""sep:"&amp;Controls!$V116&amp;"""/&gt;&lt;representation mediaType="""&amp;Var!$B$19&amp;""" element=""sep:"&amp;Controls!$V116&amp;"""/&gt;&lt;/request&gt;"&amp;IF(Controls!E116="E","&lt;response status=""400""/&gt;&lt;response status=""405""/&gt;","")&amp;"&lt;/method&gt;"</f>
        <v>&lt;method id="PUTDERSettings" name="PUT" wx:mode="M"&gt;&lt;request&gt;&lt;representation mediaType="application/sep+xml" element="sep:DERSettings"/&gt;&lt;representation mediaType="application/sep-exi" element="sep:DERSettings"/&gt;&lt;/request&gt;&lt;/method&gt;</v>
      </c>
      <c r="E116" s="1" t="str">
        <f>"&lt;method id="""&amp;Controls!F$1&amp;Controls!$B116&amp;""" name="""&amp;Controls!F$1&amp;""" wx:mode="""&amp;Controls!F116&amp;"""&gt;"&amp;IF(Controls!B116="MirrorUsagePoint",Var!$B$21,"&lt;request&gt;&lt;representation mediaType="""&amp;Var!$B$18&amp;""" element=""sep:"&amp;Controls!$V116&amp;"""/&gt;&lt;representation mediaType="""&amp;Var!$B$19&amp;""" element=""sep:"&amp;Controls!$V116&amp;"""/&gt;&lt;/request&gt;")&amp;IF(Controls!F116="E","&lt;response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id="POSTDERSettings" name="POST" wx:mode="E"&gt;&lt;request&gt;&lt;representation mediaType="application/sep+xml" element="sep:DERSettings"/&gt;&lt;representation mediaType="application/sep-exi" element="sep:DERSettings"/&gt;&lt;/request&gt;&lt;response status="400"/&gt;&lt;response status="405"/&gt;&lt;/method&gt;</v>
      </c>
      <c r="F116" s="1" t="str">
        <f>"&lt;method id="""&amp;Controls!G$1&amp;Controls!$B116&amp;""" name="""&amp;Controls!G$1&amp;""" wx:mode="""&amp;Controls!G116&amp;"""&gt;"&amp;IF(Controls!G116="E","&lt;response status=""400""/&gt;&lt;response status=""405""/&gt;","&lt;response&gt;&lt;representation mediaType=""application/xml"" element=""sep:"&amp;Controls!$V116&amp;"""/&gt;&lt;/response&gt;")&amp;"&lt;/method&gt;"</f>
        <v>&lt;method id="DELETEDERSettings" name="DELETE" wx:mode="E"&gt;&lt;response status="400"/&gt;&lt;response status="405"/&gt;&lt;/method&gt;</v>
      </c>
      <c r="G116" s="1" t="str">
        <f ca="1">IF(ISBLANK(Controls!B116),"",OFFSET(Var!B$11,Controls!O116,0)&amp;"&lt;/resource&gt;")</f>
        <v>&lt;wx:sampleParam name="id1" style="template" type="idType"/&gt;&lt;wx:sampleParam name="id2" style="template" type="idType"/&gt;&lt;/resource&gt;</v>
      </c>
      <c r="I116" s="6" t="str">
        <f>IF(Controls!K116,"&lt;request&gt;&lt;param name=""s"" style=""query"" type=""xsd:int""&gt;&lt;doc&gt;start&lt;/doc&gt;&lt;/param&gt;"&amp;IF(Controls!L116,"&lt;param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7" spans="1:9" ht="46.5" customHeight="1">
      <c r="A117" s="1" t="str">
        <f>"&lt;resource id="""&amp;Controls!B117&amp;""" "&amp;IF(0,"path=""{"&amp;Controls!B117&amp;"Path}""","")&amp;" wx:samplePath="""&amp;Controls!C117&amp;"""&gt;&lt;doc title="""&amp;Controls!$B117&amp;"""&gt;"&amp;Controls!P117&amp;"&lt;/doc&gt;"</f>
        <v>&lt;resource id="DERStatus"  wx:samplePath="/edev/{id1}/der/{id2}/ders"&gt;&lt;doc title="DERStatus"&gt;The DER status of the associated EndDevice or SelfDevice.&lt;/doc&gt;</v>
      </c>
      <c r="B117" s="1" t="str">
        <f>"&lt;method id="""&amp;Controls!D$1&amp;Controls!$B117&amp;""" name="""&amp;Controls!D$1&amp;""" wx:mode="""&amp;Controls!D117&amp;"""&gt;"&amp;IF(Controls!D117="E","&lt;response status=""400""/&gt;&lt;response status=""405""/&gt;",I117&amp;"&lt;response&gt;&lt;representation mediaType="""&amp;Var!$B$18&amp;""" element=""sep:"&amp;Controls!$W117&amp;"""/&gt;&lt;representation mediaType="""&amp;Var!$B$19&amp;""" element=""sep:"&amp;Controls!$W117&amp;"""/&gt;&lt;/response&gt;")&amp;"&lt;/method&gt;"</f>
        <v>&lt;method id="GETDERStatus" name="GET" wx:mode="M"&gt;&lt;response&gt;&lt;representation mediaType="application/sep+xml" element="sep:DERStatus"/&gt;&lt;representation mediaType="application/sep-exi" element="sep:DERStatus"/&gt;&lt;/response&gt;&lt;/method&gt;</v>
      </c>
      <c r="C117" s="1" t="str">
        <f>"&lt;method id=""HEAD"&amp;Controls!$B117&amp;""" name=""HEAD"" wx:mode="""&amp;Controls!D117&amp;"""/&gt;"</f>
        <v>&lt;method id="HEADDERStatus" name="HEAD" wx:mode="M"/&gt;</v>
      </c>
      <c r="D117" s="1" t="str">
        <f>"&lt;method id="""&amp;Controls!E$1&amp;Controls!$B117&amp;""" name="""&amp;Controls!E$1&amp;""" wx:mode="""&amp;Controls!E117&amp;"""&gt;&lt;request&gt;&lt;representation mediaType="""&amp;Var!$B$18&amp;""" element=""sep:"&amp;Controls!$V117&amp;"""/&gt;&lt;representation mediaType="""&amp;Var!$B$19&amp;""" element=""sep:"&amp;Controls!$V117&amp;"""/&gt;&lt;/request&gt;"&amp;IF(Controls!E117="E","&lt;response status=""400""/&gt;&lt;response status=""405""/&gt;","")&amp;"&lt;/method&gt;"</f>
        <v>&lt;method id="PUTDERStatus" name="PUT" wx:mode="M"&gt;&lt;request&gt;&lt;representation mediaType="application/sep+xml" element="sep:DERStatus"/&gt;&lt;representation mediaType="application/sep-exi" element="sep:DERStatus"/&gt;&lt;/request&gt;&lt;/method&gt;</v>
      </c>
      <c r="E117" s="1" t="str">
        <f>"&lt;method id="""&amp;Controls!F$1&amp;Controls!$B117&amp;""" name="""&amp;Controls!F$1&amp;""" wx:mode="""&amp;Controls!F117&amp;"""&gt;"&amp;IF(Controls!B117="MirrorUsagePoint",Var!$B$21,"&lt;request&gt;&lt;representation mediaType="""&amp;Var!$B$18&amp;""" element=""sep:"&amp;Controls!$V117&amp;"""/&gt;&lt;representation mediaType="""&amp;Var!$B$19&amp;""" element=""sep:"&amp;Controls!$V117&amp;"""/&gt;&lt;/request&gt;")&amp;IF(Controls!F117="E","&lt;response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id="POSTDERStatus" name="POST" wx:mode="E"&gt;&lt;request&gt;&lt;representation mediaType="application/sep+xml" element="sep:DERStatus"/&gt;&lt;representation mediaType="application/sep-exi" element="sep:DERStatus"/&gt;&lt;/request&gt;&lt;response status="400"/&gt;&lt;response status="405"/&gt;&lt;/method&gt;</v>
      </c>
      <c r="F117" s="1" t="str">
        <f>"&lt;method id="""&amp;Controls!G$1&amp;Controls!$B117&amp;""" name="""&amp;Controls!G$1&amp;""" wx:mode="""&amp;Controls!G117&amp;"""&gt;"&amp;IF(Controls!G117="E","&lt;response status=""400""/&gt;&lt;response status=""405""/&gt;","&lt;response&gt;&lt;representation mediaType=""application/xml"" element=""sep:"&amp;Controls!$V117&amp;"""/&gt;&lt;/response&gt;")&amp;"&lt;/method&gt;"</f>
        <v>&lt;method id="DELETEDERStatus" name="DELETE" wx:mode="E"&gt;&lt;response status="400"/&gt;&lt;response status="405"/&gt;&lt;/method&gt;</v>
      </c>
      <c r="G117" s="1" t="str">
        <f ca="1">IF(ISBLANK(Controls!B117),"",OFFSET(Var!B$11,Controls!O117,0)&amp;"&lt;/resource&gt;")</f>
        <v>&lt;wx:sampleParam name="id1" style="template" type="idType"/&gt;&lt;wx:sampleParam name="id2" style="template" type="idType"/&gt;&lt;/resource&gt;</v>
      </c>
      <c r="I117" s="6" t="str">
        <f>IF(Controls!K117,"&lt;request&gt;&lt;param name=""s"" style=""query"" type=""xsd:int""&gt;&lt;doc&gt;start&lt;/doc&gt;&lt;/param&gt;"&amp;IF(Controls!L117,"&lt;param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8" spans="1:9" ht="46.5" customHeight="1">
      <c r="A118" s="1" t="str">
        <f>"&lt;resource id="""&amp;Controls!B118&amp;""" "&amp;IF(0,"path=""{"&amp;Controls!B118&amp;"Path}""","")&amp;" wx:samplePath="""&amp;Controls!C118&amp;"""&gt;&lt;doc title="""&amp;Controls!$B118&amp;"""&gt;"&amp;Controls!P118&amp;"&lt;/doc&gt;"</f>
        <v>&lt;resource id="DERAvailability"  wx:samplePath="/edev/{id1}/der/{id2}/dera"&gt;&lt;doc title="DERAvailability"&gt;The DER availability of the associated EndDevice or SelfDevice.&lt;/doc&gt;</v>
      </c>
      <c r="B118" s="1" t="str">
        <f>"&lt;method id="""&amp;Controls!D$1&amp;Controls!$B118&amp;""" name="""&amp;Controls!D$1&amp;""" wx:mode="""&amp;Controls!D118&amp;"""&gt;"&amp;IF(Controls!D118="E","&lt;response status=""400""/&gt;&lt;response status=""405""/&gt;",I118&amp;"&lt;response&gt;&lt;representation mediaType="""&amp;Var!$B$18&amp;""" element=""sep:"&amp;Controls!$W118&amp;"""/&gt;&lt;representation mediaType="""&amp;Var!$B$19&amp;""" element=""sep:"&amp;Controls!$W118&amp;"""/&gt;&lt;/response&gt;")&amp;"&lt;/method&gt;"</f>
        <v>&lt;method id="GETDERAvailability" name="GET" wx:mode="M"&gt;&lt;response&gt;&lt;representation mediaType="application/sep+xml" element="sep:DERAvailability"/&gt;&lt;representation mediaType="application/sep-exi" element="sep:DERAvailability"/&gt;&lt;/response&gt;&lt;/method&gt;</v>
      </c>
      <c r="C118" s="1" t="str">
        <f>"&lt;method id=""HEAD"&amp;Controls!$B118&amp;""" name=""HEAD"" wx:mode="""&amp;Controls!D118&amp;"""/&gt;"</f>
        <v>&lt;method id="HEADDERAvailability" name="HEAD" wx:mode="M"/&gt;</v>
      </c>
      <c r="D118" s="1" t="str">
        <f>"&lt;method id="""&amp;Controls!E$1&amp;Controls!$B118&amp;""" name="""&amp;Controls!E$1&amp;""" wx:mode="""&amp;Controls!E118&amp;"""&gt;&lt;request&gt;&lt;representation mediaType="""&amp;Var!$B$18&amp;""" element=""sep:"&amp;Controls!$V118&amp;"""/&gt;&lt;representation mediaType="""&amp;Var!$B$19&amp;""" element=""sep:"&amp;Controls!$V118&amp;"""/&gt;&lt;/request&gt;"&amp;IF(Controls!E118="E","&lt;response status=""400""/&gt;&lt;response status=""405""/&gt;","")&amp;"&lt;/method&gt;"</f>
        <v>&lt;method id="PUTDERAvailability" name="PUT" wx:mode="M"&gt;&lt;request&gt;&lt;representation mediaType="application/sep+xml" element="sep:DERAvailability"/&gt;&lt;representation mediaType="application/sep-exi" element="sep:DERAvailability"/&gt;&lt;/request&gt;&lt;/method&gt;</v>
      </c>
      <c r="E118" s="1" t="str">
        <f>"&lt;method id="""&amp;Controls!F$1&amp;Controls!$B118&amp;""" name="""&amp;Controls!F$1&amp;""" wx:mode="""&amp;Controls!F118&amp;"""&gt;"&amp;IF(Controls!B118="MirrorUsagePoint",Var!$B$21,"&lt;request&gt;&lt;representation mediaType="""&amp;Var!$B$18&amp;""" element=""sep:"&amp;Controls!$V118&amp;"""/&gt;&lt;representation mediaType="""&amp;Var!$B$19&amp;""" element=""sep:"&amp;Controls!$V118&amp;"""/&gt;&lt;/request&gt;")&amp;IF(Controls!F118="E","&lt;response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id="POSTDERAvailability" name="POST" wx:mode="E"&gt;&lt;request&gt;&lt;representation mediaType="application/sep+xml" element="sep:DERAvailability"/&gt;&lt;representation mediaType="application/sep-exi" element="sep:DERAvailability"/&gt;&lt;/request&gt;&lt;response status="400"/&gt;&lt;response status="405"/&gt;&lt;/method&gt;</v>
      </c>
      <c r="F118" s="1" t="str">
        <f>"&lt;method id="""&amp;Controls!G$1&amp;Controls!$B118&amp;""" name="""&amp;Controls!G$1&amp;""" wx:mode="""&amp;Controls!G118&amp;"""&gt;"&amp;IF(Controls!G118="E","&lt;response status=""400""/&gt;&lt;response status=""405""/&gt;","&lt;response&gt;&lt;representation mediaType=""application/xml"" element=""sep:"&amp;Controls!$V118&amp;"""/&gt;&lt;/response&gt;")&amp;"&lt;/method&gt;"</f>
        <v>&lt;method id="DELETEDERAvailability" name="DELETE" wx:mode="E"&gt;&lt;response status="400"/&gt;&lt;response status="405"/&gt;&lt;/method&gt;</v>
      </c>
      <c r="G118" s="1" t="str">
        <f ca="1">IF(ISBLANK(Controls!B118),"",OFFSET(Var!B$11,Controls!O118,0)&amp;"&lt;/resource&gt;")</f>
        <v>&lt;wx:sampleParam name="id1" style="template" type="idType"/&gt;&lt;wx:sampleParam name="id2" style="template" type="idType"/&gt;&lt;/resource&gt;</v>
      </c>
      <c r="I118" s="6" t="str">
        <f>IF(Controls!K118,"&lt;request&gt;&lt;param name=""s"" style=""query"" type=""xsd:int""&gt;&lt;doc&gt;start&lt;/doc&gt;&lt;/param&gt;"&amp;IF(Controls!L118,"&lt;param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19" spans="1:9" ht="46.5" customHeight="1">
      <c r="A119" s="1" t="str">
        <f>"&lt;resource id="""&amp;Controls!B119&amp;""" "&amp;IF(0,"path=""{"&amp;Controls!B119&amp;"Path}""","")&amp;" wx:samplePath="""&amp;Controls!C119&amp;"""&gt;&lt;doc title="""&amp;Controls!$B119&amp;"""&gt;"&amp;Controls!P119&amp;"&lt;/doc&gt;"</f>
        <v>&lt;resource id="DERCapability"  wx:samplePath="/edev/{id1}/der/{id2}/dercap"&gt;&lt;doc title="DERCapability"&gt;Capabilities of the DER&lt;/doc&gt;</v>
      </c>
      <c r="B119" s="1" t="str">
        <f>"&lt;method id="""&amp;Controls!D$1&amp;Controls!$B119&amp;""" name="""&amp;Controls!D$1&amp;""" wx:mode="""&amp;Controls!D119&amp;"""&gt;"&amp;IF(Controls!D119="E","&lt;response status=""400""/&gt;&lt;response status=""405""/&gt;",I119&amp;"&lt;response&gt;&lt;representation mediaType="""&amp;Var!$B$18&amp;""" element=""sep:"&amp;Controls!$W119&amp;"""/&gt;&lt;representation mediaType="""&amp;Var!$B$19&amp;""" element=""sep:"&amp;Controls!$W119&amp;"""/&gt;&lt;/response&gt;")&amp;"&lt;/method&gt;"</f>
        <v>&lt;method id="GETDERCapability" name="GET" wx:mode="M"&gt;&lt;response&gt;&lt;representation mediaType="application/sep+xml" element="sep:DERCapability"/&gt;&lt;representation mediaType="application/sep-exi" element="sep:DERCapability"/&gt;&lt;/response&gt;&lt;/method&gt;</v>
      </c>
      <c r="C119" s="1" t="str">
        <f>"&lt;method id=""HEAD"&amp;Controls!$B119&amp;""" name=""HEAD"" wx:mode="""&amp;Controls!D119&amp;"""/&gt;"</f>
        <v>&lt;method id="HEADDERCapability" name="HEAD" wx:mode="M"/&gt;</v>
      </c>
      <c r="D119" s="1" t="str">
        <f>"&lt;method id="""&amp;Controls!E$1&amp;Controls!$B119&amp;""" name="""&amp;Controls!E$1&amp;""" wx:mode="""&amp;Controls!E119&amp;"""&gt;&lt;request&gt;&lt;representation mediaType="""&amp;Var!$B$18&amp;""" element=""sep:"&amp;Controls!$V119&amp;"""/&gt;&lt;representation mediaType="""&amp;Var!$B$19&amp;""" element=""sep:"&amp;Controls!$V119&amp;"""/&gt;&lt;/request&gt;"&amp;IF(Controls!E119="E","&lt;response status=""400""/&gt;&lt;response status=""405""/&gt;","")&amp;"&lt;/method&gt;"</f>
        <v>&lt;method id="PUTDERCapability" name="PUT" wx:mode="M"&gt;&lt;request&gt;&lt;representation mediaType="application/sep+xml" element="sep:DERCapability"/&gt;&lt;representation mediaType="application/sep-exi" element="sep:DERCapability"/&gt;&lt;/request&gt;&lt;/method&gt;</v>
      </c>
      <c r="E119" s="1" t="str">
        <f>"&lt;method id="""&amp;Controls!F$1&amp;Controls!$B119&amp;""" name="""&amp;Controls!F$1&amp;""" wx:mode="""&amp;Controls!F119&amp;"""&gt;"&amp;IF(Controls!B119="MirrorUsagePoint",Var!$B$21,"&lt;request&gt;&lt;representation mediaType="""&amp;Var!$B$18&amp;""" element=""sep:"&amp;Controls!$V119&amp;"""/&gt;&lt;representation mediaType="""&amp;Var!$B$19&amp;""" element=""sep:"&amp;Controls!$V119&amp;"""/&gt;&lt;/request&gt;")&amp;IF(Controls!F119="E","&lt;response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id="POSTDERCapability" name="POST" wx:mode="E"&gt;&lt;request&gt;&lt;representation mediaType="application/sep+xml" element="sep:DERCapability"/&gt;&lt;representation mediaType="application/sep-exi" element="sep:DERCapability"/&gt;&lt;/request&gt;&lt;response status="400"/&gt;&lt;response status="405"/&gt;&lt;/method&gt;</v>
      </c>
      <c r="F119" s="1" t="str">
        <f>"&lt;method id="""&amp;Controls!G$1&amp;Controls!$B119&amp;""" name="""&amp;Controls!G$1&amp;""" wx:mode="""&amp;Controls!G119&amp;"""&gt;"&amp;IF(Controls!G119="E","&lt;response status=""400""/&gt;&lt;response status=""405""/&gt;","&lt;response&gt;&lt;representation mediaType=""application/xml"" element=""sep:"&amp;Controls!$V119&amp;"""/&gt;&lt;/response&gt;")&amp;"&lt;/method&gt;"</f>
        <v>&lt;method id="DELETEDERCapability" name="DELETE" wx:mode="E"&gt;&lt;response status="400"/&gt;&lt;response status="405"/&gt;&lt;/method&gt;</v>
      </c>
      <c r="G119" s="1" t="str">
        <f ca="1">IF(ISBLANK(Controls!B119),"",OFFSET(Var!B$11,Controls!O119,0)&amp;"&lt;/resource&gt;")</f>
        <v>&lt;wx:sampleParam name="id1" style="template" type="idType"/&gt;&lt;wx:sampleParam name="id2" style="template" type="idType"/&gt;&lt;/resource&gt;</v>
      </c>
      <c r="I119" s="6" t="str">
        <f>IF(Controls!K119,"&lt;request&gt;&lt;param name=""s"" style=""query"" type=""xsd:int""&gt;&lt;doc&gt;start&lt;/doc&gt;&lt;/param&gt;"&amp;IF(Controls!L119,"&lt;param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20" spans="1:9" ht="46.5" customHeight="1">
      <c r="A120" s="1" t="str">
        <f>"&lt;resource id="""&amp;Controls!B120&amp;""" "&amp;IF(0,"path=""{"&amp;Controls!B120&amp;"Path}""","")&amp;" wx:samplePath="""&amp;Controls!C120&amp;"""&gt;&lt;doc title="""&amp;Controls!$B120&amp;"""&gt;"&amp;Controls!P120&amp;"&lt;/doc&gt;"</f>
        <v>&lt;resource id="DERProgramList"  wx:samplePath="/derp"&gt;&lt;doc title="DERProgramList"&gt;List of DERProgram instances. Devices implementing the DERProgramList resource MAY support multiple instances of DERPrograms.&lt;/doc&gt;</v>
      </c>
      <c r="B120" s="1" t="str">
        <f>"&lt;method id="""&amp;Controls!D$1&amp;Controls!$B120&amp;""" name="""&amp;Controls!D$1&amp;""" wx:mode="""&amp;Controls!D120&amp;"""&gt;"&amp;IF(Controls!D120="E","&lt;response status=""400""/&gt;&lt;response status=""405""/&gt;",I120&amp;"&lt;response&gt;&lt;representation mediaType="""&amp;Var!$B$18&amp;""" element=""sep:"&amp;Controls!$W120&amp;"""/&gt;&lt;representation mediaType="""&amp;Var!$B$19&amp;""" element=""sep:"&amp;Controls!$W120&amp;"""/&gt;&lt;/response&gt;")&amp;"&lt;/method&gt;"</f>
        <v>&lt;method id="GETDERProgramList"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element="sep:DERProgramList"/&gt;&lt;representation mediaType="application/sep-exi" element="sep:DERProgramList"/&gt;&lt;/response&gt;&lt;/method&gt;</v>
      </c>
      <c r="C120" s="1" t="str">
        <f>"&lt;method id=""HEAD"&amp;Controls!$B120&amp;""" name=""HEAD"" wx:mode="""&amp;Controls!D120&amp;"""/&gt;"</f>
        <v>&lt;method id="HEADDERProgramList" name="HEAD" wx:mode="M"/&gt;</v>
      </c>
      <c r="D120" s="1" t="str">
        <f>"&lt;method id="""&amp;Controls!E$1&amp;Controls!$B120&amp;""" name="""&amp;Controls!E$1&amp;""" wx:mode="""&amp;Controls!E120&amp;"""&gt;&lt;request&gt;&lt;representation mediaType="""&amp;Var!$B$18&amp;""" element=""sep:"&amp;Controls!$V120&amp;"""/&gt;&lt;representation mediaType="""&amp;Var!$B$19&amp;""" element=""sep:"&amp;Controls!$V120&amp;"""/&gt;&lt;/request&gt;"&amp;IF(Controls!E120="E","&lt;response status=""400""/&gt;&lt;response status=""405""/&gt;","")&amp;"&lt;/method&gt;"</f>
        <v>&lt;method id="PUTDERProgramList" name="PUT" wx:mode="E"&gt;&lt;request&gt;&lt;representation mediaType="application/sep+xml" element="sep:DERProgram"/&gt;&lt;representation mediaType="application/sep-exi" element="sep:DERProgram"/&gt;&lt;/request&gt;&lt;response status="400"/&gt;&lt;response status="405"/&gt;&lt;/method&gt;</v>
      </c>
      <c r="E120" s="1" t="str">
        <f>"&lt;method id="""&amp;Controls!F$1&amp;Controls!$B120&amp;""" name="""&amp;Controls!F$1&amp;""" wx:mode="""&amp;Controls!F120&amp;"""&gt;"&amp;IF(Controls!B120="MirrorUsagePoint",Var!$B$21,"&lt;request&gt;&lt;representation mediaType="""&amp;Var!$B$18&amp;""" element=""sep:"&amp;Controls!$V120&amp;"""/&gt;&lt;representation mediaType="""&amp;Var!$B$19&amp;""" element=""sep:"&amp;Controls!$V120&amp;"""/&gt;&lt;/request&gt;")&amp;IF(Controls!F120="E","&lt;response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id="POSTDERProgramList" name="POST" wx:mode="O"&gt;&lt;request&gt;&lt;representation mediaType="application/sep+xml" element="sep:DERProgram"/&gt;&lt;representation mediaType="application/sep-exi" element="sep:DERProgram"/&gt;&lt;/request&gt;&lt;response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20" s="1" t="str">
        <f>"&lt;method id="""&amp;Controls!G$1&amp;Controls!$B120&amp;""" name="""&amp;Controls!G$1&amp;""" wx:mode="""&amp;Controls!G120&amp;"""&gt;"&amp;IF(Controls!G120="E","&lt;response status=""400""/&gt;&lt;response status=""405""/&gt;","&lt;response&gt;&lt;representation mediaType=""application/xml"" element=""sep:"&amp;Controls!$V120&amp;"""/&gt;&lt;/response&gt;")&amp;"&lt;/method&gt;"</f>
        <v>&lt;method id="DELETEDERProgramList" name="DELETE" wx:mode="E"&gt;&lt;response status="400"/&gt;&lt;response status="405"/&gt;&lt;/method&gt;</v>
      </c>
      <c r="G120" s="1" t="str">
        <f ca="1">IF(ISBLANK(Controls!B120),"",OFFSET(Var!B$11,Controls!O120,0)&amp;"&lt;/resource&gt;")</f>
        <v>&lt;/resource&gt;</v>
      </c>
      <c r="I120" s="6" t="str">
        <f>IF(Controls!K120,"&lt;request&gt;&lt;param name=""s"" style=""query"" type=""xsd:int""&gt;&lt;doc&gt;start&lt;/doc&gt;&lt;/param&gt;"&amp;IF(Controls!L120,"&lt;param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21" spans="1:9" ht="46.5" customHeight="1">
      <c r="A121" s="1" t="str">
        <f>"&lt;resource id="""&amp;Controls!B121&amp;""" "&amp;IF(0,"path=""{"&amp;Controls!B121&amp;"Path}""","")&amp;" wx:samplePath="""&amp;Controls!C121&amp;"""&gt;&lt;doc title="""&amp;Controls!$B121&amp;"""&gt;"&amp;Controls!P121&amp;"&lt;/doc&gt;"</f>
        <v>&lt;resource id="DERProgram"  wx:samplePath="/derp/{id1}"&gt;&lt;doc title="DERProgram"&gt;Specific DER Control Program collection resource.  This resource can be thought of as a particular DERProgram endpoint.  This representation contains simple management attributes, as well as each associated resource.&lt;/doc&gt;</v>
      </c>
      <c r="B121" s="1" t="str">
        <f>"&lt;method id="""&amp;Controls!D$1&amp;Controls!$B121&amp;""" name="""&amp;Controls!D$1&amp;""" wx:mode="""&amp;Controls!D121&amp;"""&gt;"&amp;IF(Controls!D121="E","&lt;response status=""400""/&gt;&lt;response status=""405""/&gt;",I121&amp;"&lt;response&gt;&lt;representation mediaType="""&amp;Var!$B$18&amp;""" element=""sep:"&amp;Controls!$W121&amp;"""/&gt;&lt;representation mediaType="""&amp;Var!$B$19&amp;""" element=""sep:"&amp;Controls!$W121&amp;"""/&gt;&lt;/response&gt;")&amp;"&lt;/method&gt;"</f>
        <v>&lt;method id="GETDERProgram" name="GET" wx:mode="M"&gt;&lt;response&gt;&lt;representation mediaType="application/sep+xml" element="sep:DERProgram"/&gt;&lt;representation mediaType="application/sep-exi" element="sep:DERProgram"/&gt;&lt;/response&gt;&lt;/method&gt;</v>
      </c>
      <c r="C121" s="1" t="str">
        <f>"&lt;method id=""HEAD"&amp;Controls!$B121&amp;""" name=""HEAD"" wx:mode="""&amp;Controls!D121&amp;"""/&gt;"</f>
        <v>&lt;method id="HEADDERProgram" name="HEAD" wx:mode="M"/&gt;</v>
      </c>
      <c r="D121" s="1" t="str">
        <f>"&lt;method id="""&amp;Controls!E$1&amp;Controls!$B121&amp;""" name="""&amp;Controls!E$1&amp;""" wx:mode="""&amp;Controls!E121&amp;"""&gt;&lt;request&gt;&lt;representation mediaType="""&amp;Var!$B$18&amp;""" element=""sep:"&amp;Controls!$V121&amp;"""/&gt;&lt;representation mediaType="""&amp;Var!$B$19&amp;""" element=""sep:"&amp;Controls!$V121&amp;"""/&gt;&lt;/request&gt;"&amp;IF(Controls!E121="E","&lt;response status=""400""/&gt;&lt;response status=""405""/&gt;","")&amp;"&lt;/method&gt;"</f>
        <v>&lt;method id="PUTDERProgram" name="PUT" wx:mode="E"&gt;&lt;request&gt;&lt;representation mediaType="application/sep+xml" element="sep:DERProgram"/&gt;&lt;representation mediaType="application/sep-exi" element="sep:DERProgram"/&gt;&lt;/request&gt;&lt;response status="400"/&gt;&lt;response status="405"/&gt;&lt;/method&gt;</v>
      </c>
      <c r="E121" s="1" t="str">
        <f>"&lt;method id="""&amp;Controls!F$1&amp;Controls!$B121&amp;""" name="""&amp;Controls!F$1&amp;""" wx:mode="""&amp;Controls!F121&amp;"""&gt;"&amp;IF(Controls!B121="MirrorUsagePoint",Var!$B$21,"&lt;request&gt;&lt;representation mediaType="""&amp;Var!$B$18&amp;""" element=""sep:"&amp;Controls!$V121&amp;"""/&gt;&lt;representation mediaType="""&amp;Var!$B$19&amp;""" element=""sep:"&amp;Controls!$V121&amp;"""/&gt;&lt;/request&gt;")&amp;IF(Controls!F121="E","&lt;response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id="POSTDERProgram" name="POST" wx:mode="E"&gt;&lt;request&gt;&lt;representation mediaType="application/sep+xml" element="sep:DERProgram"/&gt;&lt;representation mediaType="application/sep-exi" element="sep:DERProgram"/&gt;&lt;/request&gt;&lt;response status="400"/&gt;&lt;response status="405"/&gt;&lt;/method&gt;</v>
      </c>
      <c r="F121" s="1" t="str">
        <f>"&lt;method id="""&amp;Controls!G$1&amp;Controls!$B121&amp;""" name="""&amp;Controls!G$1&amp;""" wx:mode="""&amp;Controls!G121&amp;"""&gt;"&amp;IF(Controls!G121="E","&lt;response status=""400""/&gt;&lt;response status=""405""/&gt;","&lt;response&gt;&lt;representation mediaType=""application/xml"" element=""sep:"&amp;Controls!$V121&amp;"""/&gt;&lt;/response&gt;")&amp;"&lt;/method&gt;"</f>
        <v>&lt;method id="DELETEDERProgram" name="DELETE" wx:mode="O"&gt;&lt;response&gt;&lt;representation mediaType="application/xml" element="sep:DERProgram"/&gt;&lt;/response&gt;&lt;/method&gt;</v>
      </c>
      <c r="G121" s="1" t="str">
        <f ca="1">IF(ISBLANK(Controls!B121),"",OFFSET(Var!B$11,Controls!O121,0)&amp;"&lt;/resource&gt;")</f>
        <v>&lt;wx:sampleParam name="id1" style="template" type="idType"/&gt;&lt;/resource&gt;</v>
      </c>
      <c r="I121" s="6" t="str">
        <f>IF(Controls!K121,"&lt;request&gt;&lt;param name=""s"" style=""query"" type=""xsd:int""&gt;&lt;doc&gt;start&lt;/doc&gt;&lt;/param&gt;"&amp;IF(Controls!L121,"&lt;param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22" spans="1:9" ht="45" customHeight="1">
      <c r="A122" s="1" t="str">
        <f>"&lt;resource id="""&amp;Controls!B122&amp;""" "&amp;IF(0,"path=""{"&amp;Controls!B122&amp;"Path}""","")&amp;" wx:samplePath="""&amp;Controls!C122&amp;"""&gt;&lt;doc title="""&amp;Controls!$B122&amp;"""&gt;"&amp;Controls!P122&amp;"&lt;/doc&gt;"</f>
        <v>&lt;resource id="ActiveDERControlList"  wx:samplePath="/derp/{id1}/actderc"&gt;&lt;doc title="ActiveDERControlList"&gt;List of DERControls that are currently active.&lt;/doc&gt;</v>
      </c>
      <c r="B122" s="1" t="str">
        <f>"&lt;method id="""&amp;Controls!D$1&amp;Controls!$B122&amp;""" name="""&amp;Controls!D$1&amp;""" wx:mode="""&amp;Controls!D122&amp;"""&gt;"&amp;IF(Controls!D122="E","&lt;response status=""400""/&gt;&lt;response status=""405""/&gt;",I122&amp;"&lt;response&gt;&lt;representation mediaType="""&amp;Var!$B$18&amp;""" element=""sep:"&amp;Controls!$W122&amp;"""/&gt;&lt;representation mediaType="""&amp;Var!$B$19&amp;""" element=""sep:"&amp;Controls!$W122&amp;"""/&gt;&lt;/response&gt;")&amp;"&lt;/method&gt;"</f>
        <v>&lt;method id="GETActiveDERControlList"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element="sep:DERControlList"/&gt;&lt;representation mediaType="application/sep-exi" element="sep:DERControlList"/&gt;&lt;/response&gt;&lt;/method&gt;</v>
      </c>
      <c r="C122" s="1" t="str">
        <f>"&lt;method id=""HEAD"&amp;Controls!$B122&amp;""" name=""HEAD"" wx:mode="""&amp;Controls!D122&amp;"""/&gt;"</f>
        <v>&lt;method id="HEADActiveDERControlList" name="HEAD" wx:mode="M"/&gt;</v>
      </c>
      <c r="D122" s="1" t="str">
        <f>"&lt;method id="""&amp;Controls!E$1&amp;Controls!$B122&amp;""" name="""&amp;Controls!E$1&amp;""" wx:mode="""&amp;Controls!E122&amp;"""&gt;&lt;request&gt;&lt;representation mediaType="""&amp;Var!$B$18&amp;""" element=""sep:"&amp;Controls!$V122&amp;"""/&gt;&lt;representation mediaType="""&amp;Var!$B$19&amp;""" element=""sep:"&amp;Controls!$V122&amp;"""/&gt;&lt;/request&gt;"&amp;IF(Controls!E122="E","&lt;response status=""400""/&gt;&lt;response status=""405""/&gt;","")&amp;"&lt;/method&gt;"</f>
        <v>&lt;method id="PUTActiveDERControlList" name="PUT" wx:mode="E"&gt;&lt;request&gt;&lt;representation mediaType="application/sep+xml" element="sep:DERControl"/&gt;&lt;representation mediaType="application/sep-exi" element="sep:DERControl"/&gt;&lt;/request&gt;&lt;response status="400"/&gt;&lt;response status="405"/&gt;&lt;/method&gt;</v>
      </c>
      <c r="E122" s="1" t="str">
        <f>"&lt;method id="""&amp;Controls!F$1&amp;Controls!$B122&amp;""" name="""&amp;Controls!F$1&amp;""" wx:mode="""&amp;Controls!F122&amp;"""&gt;"&amp;IF(Controls!B122="MirrorUsagePoint",Var!$B$21,"&lt;request&gt;&lt;representation mediaType="""&amp;Var!$B$18&amp;""" element=""sep:"&amp;Controls!$V122&amp;"""/&gt;&lt;representation mediaType="""&amp;Var!$B$19&amp;""" element=""sep:"&amp;Controls!$V122&amp;"""/&gt;&lt;/request&gt;")&amp;IF(Controls!F122="E","&lt;response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id="POSTActiveDERControlList" name="POST" wx:mode="E"&gt;&lt;request&gt;&lt;representation mediaType="application/sep+xml" element="sep:DERControl"/&gt;&lt;representation mediaType="application/sep-exi" element="sep:DERControl"/&gt;&lt;/request&gt;&lt;response status="400"/&gt;&lt;response status="405"/&gt;&lt;/method&gt;</v>
      </c>
      <c r="F122" s="1" t="str">
        <f>"&lt;method id="""&amp;Controls!G$1&amp;Controls!$B122&amp;""" name="""&amp;Controls!G$1&amp;""" wx:mode="""&amp;Controls!G122&amp;"""&gt;"&amp;IF(Controls!G122="E","&lt;response status=""400""/&gt;&lt;response status=""405""/&gt;","&lt;response&gt;&lt;representation mediaType=""application/xml"" element=""sep:"&amp;Controls!$V122&amp;"""/&gt;&lt;/response&gt;")&amp;"&lt;/method&gt;"</f>
        <v>&lt;method id="DELETEActiveDERControlList" name="DELETE" wx:mode="E"&gt;&lt;response status="400"/&gt;&lt;response status="405"/&gt;&lt;/method&gt;</v>
      </c>
      <c r="G122" s="1" t="str">
        <f ca="1">IF(ISBLANK(Controls!B122),"",OFFSET(Var!B$11,Controls!O122,0)&amp;"&lt;/resource&gt;")</f>
        <v>&lt;wx:sampleParam name="id1" style="template" type="idType"/&gt;&lt;/resource&gt;</v>
      </c>
      <c r="I122" s="6" t="str">
        <f>IF(Controls!K122,"&lt;request&gt;&lt;param name=""s"" style=""query"" type=""xsd:int""&gt;&lt;doc&gt;start&lt;/doc&gt;&lt;/param&gt;"&amp;IF(Controls!L122,"&lt;param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123" spans="1:9" ht="45" customHeight="1">
      <c r="A123" s="1" t="str">
        <f>"&lt;resource id="""&amp;Controls!B123&amp;""" "&amp;IF(0,"path=""{"&amp;Controls!B123&amp;"Path}""","")&amp;" wx:samplePath="""&amp;Controls!C123&amp;"""&gt;&lt;doc title="""&amp;Controls!$B123&amp;"""&gt;"&amp;Controls!P123&amp;"&lt;/doc&gt;"</f>
        <v>&lt;resource id="DERControlList"  wx:samplePath="/derp/{id1}/derc"&gt;&lt;doc title="DERControlList"&gt;List of DERControls.  Devices implementing the DERControlList resource MAY support multiple DERControls.&lt;/doc&gt;</v>
      </c>
      <c r="B123" s="1" t="str">
        <f>"&lt;method id="""&amp;Controls!D$1&amp;Controls!$B123&amp;""" name="""&amp;Controls!D$1&amp;""" wx:mode="""&amp;Controls!D123&amp;"""&gt;"&amp;IF(Controls!D123="E","&lt;response status=""400""/&gt;&lt;response status=""405""/&gt;",I123&amp;"&lt;response&gt;&lt;representation mediaType="""&amp;Var!$B$18&amp;""" element=""sep:"&amp;Controls!$W123&amp;"""/&gt;&lt;representation mediaType="""&amp;Var!$B$19&amp;""" element=""sep:"&amp;Controls!$W123&amp;"""/&gt;&lt;/response&gt;")&amp;"&lt;/method&gt;"</f>
        <v>&lt;method id="GETDERControlList" name="GET" wx:mode="M"&gt;&lt;request&gt;&lt;param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type="xsd:int"&gt;&lt;doc&gt;limit&lt;/doc&gt;&lt;/param&gt;&lt;/request&gt;&lt;response&gt;&lt;representation mediaType="application/sep+xml" element="sep:DERControlList"/&gt;&lt;representation mediaType="application/sep-exi" element="sep:DERControlList"/&gt;&lt;/response&gt;&lt;/method&gt;</v>
      </c>
      <c r="C123" s="1" t="str">
        <f>"&lt;method id=""HEAD"&amp;Controls!$B123&amp;""" name=""HEAD"" wx:mode="""&amp;Controls!D123&amp;"""/&gt;"</f>
        <v>&lt;method id="HEADDERControlList" name="HEAD" wx:mode="M"/&gt;</v>
      </c>
      <c r="D123" s="1" t="str">
        <f>"&lt;method id="""&amp;Controls!E$1&amp;Controls!$B123&amp;""" name="""&amp;Controls!E$1&amp;""" wx:mode="""&amp;Controls!E123&amp;"""&gt;&lt;request&gt;&lt;representation mediaType="""&amp;Var!$B$18&amp;""" element=""sep:"&amp;Controls!$V123&amp;"""/&gt;&lt;representation mediaType="""&amp;Var!$B$19&amp;""" element=""sep:"&amp;Controls!$V123&amp;"""/&gt;&lt;/request&gt;"&amp;IF(Controls!E123="E","&lt;response status=""400""/&gt;&lt;response status=""405""/&gt;","")&amp;"&lt;/method&gt;"</f>
        <v>&lt;method id="PUTDERControlList" name="PUT" wx:mode="E"&gt;&lt;request&gt;&lt;representation mediaType="application/sep+xml" element="sep:DERControl"/&gt;&lt;representation mediaType="application/sep-exi" element="sep:DERControl"/&gt;&lt;/request&gt;&lt;response status="400"/&gt;&lt;response status="405"/&gt;&lt;/method&gt;</v>
      </c>
      <c r="E123" s="1" t="str">
        <f>"&lt;method id="""&amp;Controls!F$1&amp;Controls!$B123&amp;""" name="""&amp;Controls!F$1&amp;""" wx:mode="""&amp;Controls!F123&amp;"""&gt;"&amp;IF(Controls!B123="MirrorUsagePoint",Var!$B$21,"&lt;request&gt;&lt;representation mediaType="""&amp;Var!$B$18&amp;""" element=""sep:"&amp;Controls!$V123&amp;"""/&gt;&lt;representation mediaType="""&amp;Var!$B$19&amp;""" element=""sep:"&amp;Controls!$V123&amp;"""/&gt;&lt;/request&gt;")&amp;IF(Controls!F123="E","&lt;response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id="POSTDERControlList" name="POST" wx:mode="O"&gt;&lt;request&gt;&lt;representation mediaType="application/sep+xml" element="sep:DERControl"/&gt;&lt;representation mediaType="application/sep-exi" element="sep:DERControl"/&gt;&lt;/request&gt;&lt;response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23" s="1" t="str">
        <f>"&lt;method id="""&amp;Controls!G$1&amp;Controls!$B123&amp;""" name="""&amp;Controls!G$1&amp;""" wx:mode="""&amp;Controls!G123&amp;"""&gt;"&amp;IF(Controls!G123="E","&lt;response status=""400""/&gt;&lt;response status=""405""/&gt;","&lt;response&gt;&lt;representation mediaType=""application/xml"" element=""sep:"&amp;Controls!$V123&amp;"""/&gt;&lt;/response&gt;")&amp;"&lt;/method&gt;"</f>
        <v>&lt;method id="DELETEDERControlList" name="DELETE" wx:mode="E"&gt;&lt;response status="400"/&gt;&lt;response status="405"/&gt;&lt;/method&gt;</v>
      </c>
      <c r="G123" s="1" t="str">
        <f ca="1">IF(ISBLANK(Controls!B123),"",OFFSET(Var!B$11,Controls!O123,0)&amp;"&lt;/resource&gt;")</f>
        <v>&lt;wx:sampleParam name="id1" style="template" type="idType"/&gt;&lt;/resource&gt;</v>
      </c>
      <c r="I123" s="6" t="str">
        <f>IF(Controls!K123,"&lt;request&gt;&lt;param name=""s"" style=""query"" type=""xsd:int""&gt;&lt;doc&gt;start&lt;/doc&gt;&lt;/param&gt;"&amp;IF(Controls!L123,"&lt;param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name="a" style="query" type="xsd:int"&gt;&lt;doc&gt;after&lt;/doc&gt;&lt;/param&gt;&lt;param name="l" style="query" type="xsd:int"&gt;&lt;doc&gt;limit&lt;/doc&gt;&lt;/param&gt;&lt;/request&gt;</v>
      </c>
    </row>
    <row r="124" spans="1:9" ht="45" customHeight="1">
      <c r="A124" s="1" t="str">
        <f>"&lt;resource id="""&amp;Controls!B124&amp;""" "&amp;IF(0,"path=""{"&amp;Controls!B124&amp;"Path}""","")&amp;" wx:samplePath="""&amp;Controls!C124&amp;"""&gt;&lt;doc title="""&amp;Controls!$B124&amp;"""&gt;"&amp;Controls!P124&amp;"&lt;/doc&gt;"</f>
        <v>&lt;resource id="DERControl"  wx:samplePath="/derp/{id1}/derc/{id2}"&gt;&lt;doc title="DERControl"&gt;Specific DERControl resource.  This resource can be thought of as a particular DER control event for a period of time.&lt;/doc&gt;</v>
      </c>
      <c r="B124" s="1" t="str">
        <f>"&lt;method id="""&amp;Controls!D$1&amp;Controls!$B124&amp;""" name="""&amp;Controls!D$1&amp;""" wx:mode="""&amp;Controls!D124&amp;"""&gt;"&amp;IF(Controls!D124="E","&lt;response status=""400""/&gt;&lt;response status=""405""/&gt;",I124&amp;"&lt;response&gt;&lt;representation mediaType="""&amp;Var!$B$18&amp;""" element=""sep:"&amp;Controls!$W124&amp;"""/&gt;&lt;representation mediaType="""&amp;Var!$B$19&amp;""" element=""sep:"&amp;Controls!$W124&amp;"""/&gt;&lt;/response&gt;")&amp;"&lt;/method&gt;"</f>
        <v>&lt;method id="GETDERControl" name="GET" wx:mode="M"&gt;&lt;response&gt;&lt;representation mediaType="application/sep+xml" element="sep:DERControl"/&gt;&lt;representation mediaType="application/sep-exi" element="sep:DERControl"/&gt;&lt;/response&gt;&lt;/method&gt;</v>
      </c>
      <c r="C124" s="1" t="str">
        <f>"&lt;method id=""HEAD"&amp;Controls!$B124&amp;""" name=""HEAD"" wx:mode="""&amp;Controls!D124&amp;"""/&gt;"</f>
        <v>&lt;method id="HEADDERControl" name="HEAD" wx:mode="M"/&gt;</v>
      </c>
      <c r="D124" s="1" t="str">
        <f>"&lt;method id="""&amp;Controls!E$1&amp;Controls!$B124&amp;""" name="""&amp;Controls!E$1&amp;""" wx:mode="""&amp;Controls!E124&amp;"""&gt;&lt;request&gt;&lt;representation mediaType="""&amp;Var!$B$18&amp;""" element=""sep:"&amp;Controls!$V124&amp;"""/&gt;&lt;representation mediaType="""&amp;Var!$B$19&amp;""" element=""sep:"&amp;Controls!$V124&amp;"""/&gt;&lt;/request&gt;"&amp;IF(Controls!E124="E","&lt;response status=""400""/&gt;&lt;response status=""405""/&gt;","")&amp;"&lt;/method&gt;"</f>
        <v>&lt;method id="PUTDERControl" name="PUT" wx:mode="E"&gt;&lt;request&gt;&lt;representation mediaType="application/sep+xml" element="sep:DERControl"/&gt;&lt;representation mediaType="application/sep-exi" element="sep:DERControl"/&gt;&lt;/request&gt;&lt;response status="400"/&gt;&lt;response status="405"/&gt;&lt;/method&gt;</v>
      </c>
      <c r="E124" s="1" t="str">
        <f>"&lt;method id="""&amp;Controls!F$1&amp;Controls!$B124&amp;""" name="""&amp;Controls!F$1&amp;""" wx:mode="""&amp;Controls!F124&amp;"""&gt;"&amp;IF(Controls!B124="MirrorUsagePoint",Var!$B$21,"&lt;request&gt;&lt;representation mediaType="""&amp;Var!$B$18&amp;""" element=""sep:"&amp;Controls!$V124&amp;"""/&gt;&lt;representation mediaType="""&amp;Var!$B$19&amp;""" element=""sep:"&amp;Controls!$V124&amp;"""/&gt;&lt;/request&gt;")&amp;IF(Controls!F124="E","&lt;response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id="POSTDERControl" name="POST" wx:mode="E"&gt;&lt;request&gt;&lt;representation mediaType="application/sep+xml" element="sep:DERControl"/&gt;&lt;representation mediaType="application/sep-exi" element="sep:DERControl"/&gt;&lt;/request&gt;&lt;response status="400"/&gt;&lt;response status="405"/&gt;&lt;/method&gt;</v>
      </c>
      <c r="F124" s="1" t="str">
        <f>"&lt;method id="""&amp;Controls!G$1&amp;Controls!$B124&amp;""" name="""&amp;Controls!G$1&amp;""" wx:mode="""&amp;Controls!G124&amp;"""&gt;"&amp;IF(Controls!G124="E","&lt;response status=""400""/&gt;&lt;response status=""405""/&gt;","&lt;response&gt;&lt;representation mediaType=""application/xml"" element=""sep:"&amp;Controls!$V124&amp;"""/&gt;&lt;/response&gt;")&amp;"&lt;/method&gt;"</f>
        <v>&lt;method id="DELETEDERControl" name="DELETE" wx:mode="O"&gt;&lt;response&gt;&lt;representation mediaType="application/xml" element="sep:DERControl"/&gt;&lt;/response&gt;&lt;/method&gt;</v>
      </c>
      <c r="G124" s="1" t="str">
        <f ca="1">IF(ISBLANK(Controls!B124),"",OFFSET(Var!B$11,Controls!O124,0)&amp;"&lt;/resource&gt;")</f>
        <v>&lt;wx:sampleParam name="id1" style="template" type="idType"/&gt;&lt;wx:sampleParam name="id2" style="template" type="idType"/&gt;&lt;/resource&gt;</v>
      </c>
      <c r="I124" s="6" t="str">
        <f>IF(Controls!K124,"&lt;request&gt;&lt;param name=""s"" style=""query"" type=""xsd:int""&gt;&lt;doc&gt;start&lt;/doc&gt;&lt;/param&gt;"&amp;IF(Controls!L124,"&lt;param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25" spans="1:9" ht="45" customHeight="1">
      <c r="A125" s="1" t="str">
        <f>"&lt;resource id="""&amp;Controls!B125&amp;""" "&amp;IF(0,"path=""{"&amp;Controls!B125&amp;"Path}""","")&amp;" wx:samplePath="""&amp;Controls!C125&amp;"""&gt;&lt;doc title="""&amp;Controls!$B125&amp;"""&gt;"&amp;Controls!P125&amp;"&lt;/doc&gt;"</f>
        <v>&lt;resource id="DefaultDERControl"  wx:samplePath="/derp/{id1}/dderc"&gt;&lt;doc title="DefaultDERControl"&gt;The DefaultDERControl resource.  This resource can be thought of as the default DERControl to be used if no active DERControl event is found.&lt;/doc&gt;</v>
      </c>
      <c r="B125" s="1" t="str">
        <f>"&lt;method id="""&amp;Controls!D$1&amp;Controls!$B125&amp;""" name="""&amp;Controls!D$1&amp;""" wx:mode="""&amp;Controls!D125&amp;"""&gt;"&amp;IF(Controls!D125="E","&lt;response status=""400""/&gt;&lt;response status=""405""/&gt;",I125&amp;"&lt;response&gt;&lt;representation mediaType="""&amp;Var!$B$18&amp;""" element=""sep:"&amp;Controls!$W125&amp;"""/&gt;&lt;representation mediaType="""&amp;Var!$B$19&amp;""" element=""sep:"&amp;Controls!$W125&amp;"""/&gt;&lt;/response&gt;")&amp;"&lt;/method&gt;"</f>
        <v>&lt;method id="GETDefaultDERControl" name="GET" wx:mode="M"&gt;&lt;response&gt;&lt;representation mediaType="application/sep+xml" element="sep:DefaultDERControl"/&gt;&lt;representation mediaType="application/sep-exi" element="sep:DefaultDERControl"/&gt;&lt;/response&gt;&lt;/method&gt;</v>
      </c>
      <c r="C125" s="1" t="str">
        <f>"&lt;method id=""HEAD"&amp;Controls!$B125&amp;""" name=""HEAD"" wx:mode="""&amp;Controls!D125&amp;"""/&gt;"</f>
        <v>&lt;method id="HEADDefaultDERControl" name="HEAD" wx:mode="M"/&gt;</v>
      </c>
      <c r="D125" s="1" t="str">
        <f>"&lt;method id="""&amp;Controls!E$1&amp;Controls!$B125&amp;""" name="""&amp;Controls!E$1&amp;""" wx:mode="""&amp;Controls!E125&amp;"""&gt;&lt;request&gt;&lt;representation mediaType="""&amp;Var!$B$18&amp;""" element=""sep:"&amp;Controls!$V125&amp;"""/&gt;&lt;representation mediaType="""&amp;Var!$B$19&amp;""" element=""sep:"&amp;Controls!$V125&amp;"""/&gt;&lt;/request&gt;"&amp;IF(Controls!E125="E","&lt;response status=""400""/&gt;&lt;response status=""405""/&gt;","")&amp;"&lt;/method&gt;"</f>
        <v>&lt;method id="PUTDefaultDERControl" name="PUT" wx:mode="O"&gt;&lt;request&gt;&lt;representation mediaType="application/sep+xml" element="sep:DefaultDERControl"/&gt;&lt;representation mediaType="application/sep-exi" element="sep:DefaultDERControl"/&gt;&lt;/request&gt;&lt;/method&gt;</v>
      </c>
      <c r="E125" s="1" t="str">
        <f>"&lt;method id="""&amp;Controls!F$1&amp;Controls!$B125&amp;""" name="""&amp;Controls!F$1&amp;""" wx:mode="""&amp;Controls!F125&amp;"""&gt;"&amp;IF(Controls!B125="MirrorUsagePoint",Var!$B$21,"&lt;request&gt;&lt;representation mediaType="""&amp;Var!$B$18&amp;""" element=""sep:"&amp;Controls!$V125&amp;"""/&gt;&lt;representation mediaType="""&amp;Var!$B$19&amp;""" element=""sep:"&amp;Controls!$V125&amp;"""/&gt;&lt;/request&gt;")&amp;IF(Controls!F125="E","&lt;response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id="POSTDefaultDERControl" name="POST" wx:mode="E"&gt;&lt;request&gt;&lt;representation mediaType="application/sep+xml" element="sep:DefaultDERControl"/&gt;&lt;representation mediaType="application/sep-exi" element="sep:DefaultDERControl"/&gt;&lt;/request&gt;&lt;response status="400"/&gt;&lt;response status="405"/&gt;&lt;/method&gt;</v>
      </c>
      <c r="F125" s="1" t="str">
        <f>"&lt;method id="""&amp;Controls!G$1&amp;Controls!$B125&amp;""" name="""&amp;Controls!G$1&amp;""" wx:mode="""&amp;Controls!G125&amp;"""&gt;"&amp;IF(Controls!G125="E","&lt;response status=""400""/&gt;&lt;response status=""405""/&gt;","&lt;response&gt;&lt;representation mediaType=""application/xml"" element=""sep:"&amp;Controls!$V125&amp;"""/&gt;&lt;/response&gt;")&amp;"&lt;/method&gt;"</f>
        <v>&lt;method id="DELETEDefaultDERControl" name="DELETE" wx:mode="E"&gt;&lt;response status="400"/&gt;&lt;response status="405"/&gt;&lt;/method&gt;</v>
      </c>
      <c r="G125" s="1" t="str">
        <f ca="1">IF(ISBLANK(Controls!B125),"",OFFSET(Var!B$11,Controls!O125,0)&amp;"&lt;/resource&gt;")</f>
        <v>&lt;wx:sampleParam name="id1" style="template" type="idType"/&gt;&lt;/resource&gt;</v>
      </c>
      <c r="I125" s="6" t="str">
        <f>IF(Controls!K125,"&lt;request&gt;&lt;param name=""s"" style=""query"" type=""xsd:int""&gt;&lt;doc&gt;start&lt;/doc&gt;&lt;/param&gt;"&amp;IF(Controls!L125,"&lt;param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26" spans="1:9" ht="45" customHeight="1">
      <c r="A126" s="1" t="str">
        <f>"&lt;resource id="""&amp;Controls!B126&amp;""" "&amp;IF(0,"path=""{"&amp;Controls!B126&amp;"Path}""","")&amp;" wx:samplePath="""&amp;Controls!C126&amp;"""&gt;&lt;doc title="""&amp;Controls!$B126&amp;"""&gt;"&amp;Controls!P126&amp;"&lt;/doc&gt;"</f>
        <v>&lt;resource id="DERCurveList"  wx:samplePath="/derp/{id1}/dc"&gt;&lt;doc title="DERCurveList"&gt;A List of DER curves&lt;/doc&gt;</v>
      </c>
      <c r="B126" s="1" t="str">
        <f>"&lt;method id="""&amp;Controls!D$1&amp;Controls!$B126&amp;""" name="""&amp;Controls!D$1&amp;""" wx:mode="""&amp;Controls!D126&amp;"""&gt;"&amp;IF(Controls!D126="E","&lt;response status=""400""/&gt;&lt;response status=""405""/&gt;",I126&amp;"&lt;response&gt;&lt;representation mediaType="""&amp;Var!$B$18&amp;""" element=""sep:"&amp;Controls!$W126&amp;"""/&gt;&lt;representation mediaType="""&amp;Var!$B$19&amp;""" element=""sep:"&amp;Controls!$W126&amp;"""/&gt;&lt;/response&gt;")&amp;"&lt;/method&gt;"</f>
        <v>&lt;method id="GETDERCurveList" name="GET" wx:mode="M"&gt;&lt;request&gt;&lt;param name="s" style="query" type="xsd:int"&gt;&lt;doc&gt;start&lt;/doc&gt;&lt;/param&gt;&lt;param name="l" style="query" type="xsd:int"&gt;&lt;doc&gt;limit&lt;/doc&gt;&lt;/param&gt;&lt;/request&gt;&lt;response&gt;&lt;representation mediaType="application/sep+xml" element="sep:DERCurveList"/&gt;&lt;representation mediaType="application/sep-exi" element="sep:DERCurveList"/&gt;&lt;/response&gt;&lt;/method&gt;</v>
      </c>
      <c r="C126" s="1" t="str">
        <f>"&lt;method id=""HEAD"&amp;Controls!$B126&amp;""" name=""HEAD"" wx:mode="""&amp;Controls!D126&amp;"""/&gt;"</f>
        <v>&lt;method id="HEADDERCurveList" name="HEAD" wx:mode="M"/&gt;</v>
      </c>
      <c r="D126" s="1" t="str">
        <f>"&lt;method id="""&amp;Controls!E$1&amp;Controls!$B126&amp;""" name="""&amp;Controls!E$1&amp;""" wx:mode="""&amp;Controls!E126&amp;"""&gt;&lt;request&gt;&lt;representation mediaType="""&amp;Var!$B$18&amp;""" element=""sep:"&amp;Controls!$V126&amp;"""/&gt;&lt;representation mediaType="""&amp;Var!$B$19&amp;""" element=""sep:"&amp;Controls!$V126&amp;"""/&gt;&lt;/request&gt;"&amp;IF(Controls!E126="E","&lt;response status=""400""/&gt;&lt;response status=""405""/&gt;","")&amp;"&lt;/method&gt;"</f>
        <v>&lt;method id="PUTDERCurveList" name="PUT" wx:mode="E"&gt;&lt;request&gt;&lt;representation mediaType="application/sep+xml" element="sep:DERCurve"/&gt;&lt;representation mediaType="application/sep-exi" element="sep:DERCurve"/&gt;&lt;/request&gt;&lt;response status="400"/&gt;&lt;response status="405"/&gt;&lt;/method&gt;</v>
      </c>
      <c r="E126" s="1" t="str">
        <f>"&lt;method id="""&amp;Controls!F$1&amp;Controls!$B126&amp;""" name="""&amp;Controls!F$1&amp;""" wx:mode="""&amp;Controls!F126&amp;"""&gt;"&amp;IF(Controls!B126="MirrorUsagePoint",Var!$B$21,"&lt;request&gt;&lt;representation mediaType="""&amp;Var!$B$18&amp;""" element=""sep:"&amp;Controls!$V126&amp;"""/&gt;&lt;representation mediaType="""&amp;Var!$B$19&amp;""" element=""sep:"&amp;Controls!$V126&amp;"""/&gt;&lt;/request&gt;")&amp;IF(Controls!F126="E","&lt;response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id="POSTDERCurveList" name="POST" wx:mode="O"&gt;&lt;request&gt;&lt;representation mediaType="application/sep+xml" element="sep:DERCurve"/&gt;&lt;representation mediaType="application/sep-exi" element="sep:DERCurve"/&gt;&lt;/request&gt;&lt;response status="200"&gt;&lt;param name="location" style="header" type="xsd:anyURI" required="true"/&gt;&lt;/response&gt;&lt;response status="201"&gt;&lt;param name="location" style="header" type="xsd:anyURI" required="true"/&gt;&lt;/response&gt;&lt;/method&gt;</v>
      </c>
      <c r="F126" s="1" t="str">
        <f>"&lt;method id="""&amp;Controls!G$1&amp;Controls!$B126&amp;""" name="""&amp;Controls!G$1&amp;""" wx:mode="""&amp;Controls!G126&amp;"""&gt;"&amp;IF(Controls!G126="E","&lt;response status=""400""/&gt;&lt;response status=""405""/&gt;","&lt;response&gt;&lt;representation mediaType=""application/xml"" element=""sep:"&amp;Controls!$V126&amp;"""/&gt;&lt;/response&gt;")&amp;"&lt;/method&gt;"</f>
        <v>&lt;method id="DELETEDERCurveList" name="DELETE" wx:mode="E"&gt;&lt;response status="400"/&gt;&lt;response status="405"/&gt;&lt;/method&gt;</v>
      </c>
      <c r="G126" s="1" t="str">
        <f ca="1">IF(ISBLANK(Controls!B126),"",OFFSET(Var!B$11,Controls!O126,0)&amp;"&lt;/resource&gt;")</f>
        <v>&lt;wx:sampleParam name="id1" style="template" type="idType"/&gt;&lt;/resource&gt;</v>
      </c>
      <c r="I126" s="6" t="str">
        <f>IF(Controls!K126,"&lt;request&gt;&lt;param name=""s"" style=""query"" type=""xsd:int""&gt;&lt;doc&gt;start&lt;/doc&gt;&lt;/param&gt;"&amp;IF(Controls!L126,"&lt;param name=""a"" style=""query"" type=""xsd:int""&gt;&lt;doc&gt;after&lt;/doc&gt;&lt;/param&gt;","")&amp;"&lt;param name=""l"" style=""query"" type=""xsd:int""&gt;&lt;doc&gt;limit&lt;/doc&gt;&lt;/param&gt;&lt;/request&gt;","")</f>
        <v>&lt;request&gt;&lt;param name="s" style="query" type="xsd:int"&gt;&lt;doc&gt;start&lt;/doc&gt;&lt;/param&gt;&lt;param name="l" style="query" type="xsd:int"&gt;&lt;doc&gt;limit&lt;/doc&gt;&lt;/param&gt;&lt;/request&gt;</v>
      </c>
    </row>
    <row r="127" spans="1:9" ht="45" customHeight="1">
      <c r="A127" s="1" t="str">
        <f>"&lt;resource id="""&amp;Controls!B127&amp;""" "&amp;IF(0,"path=""{"&amp;Controls!B127&amp;"Path}""","")&amp;" wx:samplePath="""&amp;Controls!C127&amp;"""&gt;&lt;doc title="""&amp;Controls!$B127&amp;"""&gt;"&amp;Controls!P127&amp;"&lt;/doc&gt;"</f>
        <v>&lt;resource id="DERCurve"  wx:samplePath="/derp/{id1}/dc/{id2}"&gt;&lt;doc title="DERCurve"&gt;A DER curve instance&lt;/doc&gt;</v>
      </c>
      <c r="B127" s="1" t="str">
        <f>"&lt;method id="""&amp;Controls!D$1&amp;Controls!$B127&amp;""" name="""&amp;Controls!D$1&amp;""" wx:mode="""&amp;Controls!D127&amp;"""&gt;"&amp;IF(Controls!D127="E","&lt;response status=""400""/&gt;&lt;response status=""405""/&gt;",I127&amp;"&lt;response&gt;&lt;representation mediaType="""&amp;Var!$B$18&amp;""" element=""sep:"&amp;Controls!$W127&amp;"""/&gt;&lt;representation mediaType="""&amp;Var!$B$19&amp;""" element=""sep:"&amp;Controls!$W127&amp;"""/&gt;&lt;/response&gt;")&amp;"&lt;/method&gt;"</f>
        <v>&lt;method id="GETDERCurve" name="GET" wx:mode="M"&gt;&lt;response&gt;&lt;representation mediaType="application/sep+xml" element="sep:DERCurve"/&gt;&lt;representation mediaType="application/sep-exi" element="sep:DERCurve"/&gt;&lt;/response&gt;&lt;/method&gt;</v>
      </c>
      <c r="C127" s="1" t="str">
        <f>"&lt;method id=""HEAD"&amp;Controls!$B127&amp;""" name=""HEAD"" wx:mode="""&amp;Controls!D127&amp;"""/&gt;"</f>
        <v>&lt;method id="HEADDERCurve" name="HEAD" wx:mode="M"/&gt;</v>
      </c>
      <c r="D127" s="1" t="str">
        <f>"&lt;method id="""&amp;Controls!E$1&amp;Controls!$B127&amp;""" name="""&amp;Controls!E$1&amp;""" wx:mode="""&amp;Controls!E127&amp;"""&gt;&lt;request&gt;&lt;representation mediaType="""&amp;Var!$B$18&amp;""" element=""sep:"&amp;Controls!$V127&amp;"""/&gt;&lt;representation mediaType="""&amp;Var!$B$19&amp;""" element=""sep:"&amp;Controls!$V127&amp;"""/&gt;&lt;/request&gt;"&amp;IF(Controls!E127="E","&lt;response status=""400""/&gt;&lt;response status=""405""/&gt;","")&amp;"&lt;/method&gt;"</f>
        <v>&lt;method id="PUTDERCurve" name="PUT" wx:mode="E"&gt;&lt;request&gt;&lt;representation mediaType="application/sep+xml" element="sep:DERCurve"/&gt;&lt;representation mediaType="application/sep-exi" element="sep:DERCurve"/&gt;&lt;/request&gt;&lt;response status="400"/&gt;&lt;response status="405"/&gt;&lt;/method&gt;</v>
      </c>
      <c r="E127" s="1" t="str">
        <f>"&lt;method id="""&amp;Controls!F$1&amp;Controls!$B127&amp;""" name="""&amp;Controls!F$1&amp;""" wx:mode="""&amp;Controls!F127&amp;"""&gt;"&amp;IF(Controls!B127="MirrorUsagePoint",Var!$B$21,"&lt;request&gt;&lt;representation mediaType="""&amp;Var!$B$18&amp;""" element=""sep:"&amp;Controls!$V127&amp;"""/&gt;&lt;representation mediaType="""&amp;Var!$B$19&amp;""" element=""sep:"&amp;Controls!$V127&amp;"""/&gt;&lt;/request&gt;")&amp;IF(Controls!F127="E","&lt;response status=""400""/&gt;&lt;response status=""405""/&gt;","&lt;response status=""200""&gt;&lt;param name=""location"" style=""header"" type=""xsd:anyURI"" required=""true""/&gt;&lt;/response&gt;&lt;response status=""201""&gt;&lt;param name=""location"" style=""header"" type=""xsd:anyURI"" required=""true""/&gt;&lt;/response&gt;")&amp;"&lt;/method&gt;"</f>
        <v>&lt;method id="POSTDERCurve" name="POST" wx:mode="E"&gt;&lt;request&gt;&lt;representation mediaType="application/sep+xml" element="sep:DERCurve"/&gt;&lt;representation mediaType="application/sep-exi" element="sep:DERCurve"/&gt;&lt;/request&gt;&lt;response status="400"/&gt;&lt;response status="405"/&gt;&lt;/method&gt;</v>
      </c>
      <c r="F127" s="1" t="str">
        <f>"&lt;method id="""&amp;Controls!G$1&amp;Controls!$B127&amp;""" name="""&amp;Controls!G$1&amp;""" wx:mode="""&amp;Controls!G127&amp;"""&gt;"&amp;IF(Controls!G127="E","&lt;response status=""400""/&gt;&lt;response status=""405""/&gt;","&lt;response&gt;&lt;representation mediaType=""application/xml"" element=""sep:"&amp;Controls!$V127&amp;"""/&gt;&lt;/response&gt;")&amp;"&lt;/method&gt;"</f>
        <v>&lt;method id="DELETEDERCurve" name="DELETE" wx:mode="O"&gt;&lt;response&gt;&lt;representation mediaType="application/xml" element="sep:DERCurve"/&gt;&lt;/response&gt;&lt;/method&gt;</v>
      </c>
      <c r="G127" s="1" t="str">
        <f ca="1">IF(ISBLANK(Controls!B127),"",OFFSET(Var!B$11,Controls!O127,0)&amp;"&lt;/resource&gt;")</f>
        <v>&lt;wx:sampleParam name="id1" style="template" type="idType"/&gt;&lt;wx:sampleParam name="id2" style="template" type="idType"/&gt;&lt;/resource&gt;</v>
      </c>
      <c r="I127" s="6" t="str">
        <f>IF(Controls!K127,"&lt;request&gt;&lt;param name=""s"" style=""query"" type=""xsd:int""&gt;&lt;doc&gt;start&lt;/doc&gt;&lt;/param&gt;"&amp;IF(Controls!L127,"&lt;param name=""a"" style=""query"" type=""xsd:int""&gt;&lt;doc&gt;after&lt;/doc&gt;&lt;/param&gt;","")&amp;"&lt;param name=""l"" style=""query"" type=""xsd:int""&gt;&lt;doc&gt;limit&lt;/doc&gt;&lt;/param&gt;&lt;/request&gt;","")</f>
        <v/>
      </c>
    </row>
    <row r="128" spans="1:9">
      <c r="A128" s="1" t="s">
        <v>285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26"/>
  <sheetViews>
    <sheetView zoomScale="85" zoomScaleNormal="85" zoomScalePageLayoutView="85" workbookViewId="0"/>
  </sheetViews>
  <sheetFormatPr baseColWidth="10" defaultColWidth="8.83203125" defaultRowHeight="14" x14ac:dyDescent="0"/>
  <cols>
    <col min="1" max="7" width="20.6640625" customWidth="1"/>
    <col min="8" max="8" width="66.6640625" bestFit="1" customWidth="1"/>
  </cols>
  <sheetData>
    <row r="1" spans="1:9">
      <c r="A1" t="str">
        <f>IF(Controls!Y2,Controls!R2&amp;" Section","")</f>
        <v>Support Resources Section</v>
      </c>
      <c r="B1" t="str">
        <f>IF(Controls!Z2,Controls!S2&amp;" Function Set","")</f>
        <v>Device Capability Function Set</v>
      </c>
      <c r="C1" t="str">
        <f>Controls!B2&amp;" Resource"</f>
        <v>DeviceCapability Resource</v>
      </c>
      <c r="D1" t="str">
        <f>T(Controls!P2)</f>
        <v>Used to determine the resources available on a server.</v>
      </c>
      <c r="E1" t="str">
        <f>"Sample URI: "&amp;Controls!C2</f>
        <v>Sample URI: /dcap</v>
      </c>
      <c r="F1" t="str">
        <f>"Request Representation: "&amp;Controls!V2&amp;IF(Controls!$B2="MirrorUsagePoint"," (PUT), MirrorMeterReading (POST), MirrorMeterReadingList (POST)","")</f>
        <v>Request Representation: DeviceCapability</v>
      </c>
      <c r="G1" t="str">
        <f>"Response Representation: "&amp;Controls!W2</f>
        <v>Response Representation: DeviceCapability</v>
      </c>
      <c r="H1" t="str">
        <f>"Methods: "&amp;Controls!X2</f>
        <v>Methods: GET/HEAD: Mandatory, PUT: Error, POST: Error, DELETE: Error</v>
      </c>
      <c r="I1" t="s">
        <v>170</v>
      </c>
    </row>
    <row r="2" spans="1:9">
      <c r="A2" t="str">
        <f>IF(Controls!Y3,Controls!R3&amp;" Section","")</f>
        <v/>
      </c>
      <c r="B2" t="str">
        <f>IF(Controls!Z3,Controls!S3&amp;" Function Set","")</f>
        <v>Self Device Resource Function Set</v>
      </c>
      <c r="C2" t="str">
        <f>Controls!B3&amp;" Resource"</f>
        <v>SelfDevice Resource</v>
      </c>
      <c r="D2" t="str">
        <f>T(Controls!P3)</f>
        <v xml:space="preserve">The device that is providing the services being accessed. </v>
      </c>
      <c r="E2" t="str">
        <f>"Sample URI: "&amp;Controls!C3</f>
        <v>Sample URI: /sdev</v>
      </c>
      <c r="F2" t="str">
        <f>"Request Representation: "&amp;Controls!V3&amp;IF(Controls!$B3="MirrorUsagePoint"," (PUT), MirrorMeterReading (POST), MirrorMeterReadingList (POST)","")</f>
        <v>Request Representation: SelfDevice</v>
      </c>
      <c r="G2" t="str">
        <f>"Response Representation: "&amp;Controls!W3</f>
        <v>Response Representation: SelfDevice</v>
      </c>
      <c r="H2" t="str">
        <f>"Methods: "&amp;Controls!X3</f>
        <v>Methods: GET/HEAD: Mandatory, PUT: Discouraged, POST: Error, DELETE: Error</v>
      </c>
      <c r="I2" t="s">
        <v>170</v>
      </c>
    </row>
    <row r="3" spans="1:9">
      <c r="A3" t="str">
        <f>IF(Controls!Y4,Controls!R4&amp;" Section","")</f>
        <v/>
      </c>
      <c r="B3" t="str">
        <f>IF(Controls!Z4,Controls!S4&amp;" Function Set","")</f>
        <v>End Device Resource Function Set</v>
      </c>
      <c r="C3" t="str">
        <f>Controls!B4&amp;" Resource"</f>
        <v>EndDeviceList Resource</v>
      </c>
      <c r="D3" t="str">
        <f>T(Controls!P4)</f>
        <v xml:space="preserve">End device resource list. </v>
      </c>
      <c r="E3" t="str">
        <f>"Sample URI: "&amp;Controls!C4</f>
        <v>Sample URI: /edev</v>
      </c>
      <c r="F3" t="str">
        <f>"Request Representation: "&amp;Controls!V4&amp;IF(Controls!$B4="MirrorUsagePoint"," (PUT), MirrorMeterReading (POST), MirrorMeterReadingList (POST)","")</f>
        <v>Request Representation: EndDevice</v>
      </c>
      <c r="G3" t="str">
        <f>"Response Representation: "&amp;Controls!W4</f>
        <v>Response Representation: EndDeviceList</v>
      </c>
      <c r="H3" t="str">
        <f>"Methods: "&amp;Controls!X4</f>
        <v>Methods: GET/HEAD: Mandatory, PUT: Error, POST: Optional, DELETE: Error</v>
      </c>
      <c r="I3" t="s">
        <v>170</v>
      </c>
    </row>
    <row r="4" spans="1:9">
      <c r="A4" t="str">
        <f>IF(Controls!Y5,Controls!R5&amp;" Section","")</f>
        <v/>
      </c>
      <c r="B4" t="str">
        <f>IF(Controls!Z5,Controls!S5&amp;" Function Set","")</f>
        <v/>
      </c>
      <c r="C4" t="str">
        <f>Controls!B5&amp;" Resource"</f>
        <v>EndDevice Resource</v>
      </c>
      <c r="D4" t="str">
        <f>T(Controls!P5)</f>
        <v>End device instance.</v>
      </c>
      <c r="E4" t="str">
        <f>"Sample URI: "&amp;Controls!C5</f>
        <v>Sample URI: /edev/{id1}</v>
      </c>
      <c r="F4" t="str">
        <f>"Request Representation: "&amp;Controls!V5&amp;IF(Controls!$B5="MirrorUsagePoint"," (PUT), MirrorMeterReading (POST), MirrorMeterReadingList (POST)","")</f>
        <v>Request Representation: EndDevice</v>
      </c>
      <c r="G4" t="str">
        <f>"Response Representation: "&amp;Controls!W5</f>
        <v>Response Representation: EndDevice</v>
      </c>
      <c r="H4" t="str">
        <f>"Methods: "&amp;Controls!X5</f>
        <v>Methods: GET/HEAD: Mandatory, PUT: Optional, POST: Error, DELETE: Optional</v>
      </c>
      <c r="I4" t="s">
        <v>170</v>
      </c>
    </row>
    <row r="5" spans="1:9">
      <c r="A5" t="str">
        <f>IF(Controls!Y6,Controls!R6&amp;" Section","")</f>
        <v/>
      </c>
      <c r="B5" t="str">
        <f>IF(Controls!Z6,Controls!S6&amp;" Function Set","")</f>
        <v/>
      </c>
      <c r="C5" t="str">
        <f>Controls!B6&amp;" Resource"</f>
        <v>Registration Resource</v>
      </c>
      <c r="D5" t="str">
        <f>T(Controls!P6)</f>
        <v xml:space="preserve">Contains registrations related to the indicated device. </v>
      </c>
      <c r="E5" t="str">
        <f>"Sample URI: "&amp;Controls!C6</f>
        <v>Sample URI: /edev/{id1}/rg</v>
      </c>
      <c r="F5" t="str">
        <f>"Request Representation: "&amp;Controls!V6&amp;IF(Controls!$B6="MirrorUsagePoint"," (PUT), MirrorMeterReading (POST), MirrorMeterReadingList (POST)","")</f>
        <v>Request Representation: Registration</v>
      </c>
      <c r="G5" t="str">
        <f>"Response Representation: "&amp;Controls!W6</f>
        <v>Response Representation: Registration</v>
      </c>
      <c r="H5" t="str">
        <f>"Methods: "&amp;Controls!X6</f>
        <v>Methods: GET/HEAD: Mandatory, PUT: Optional, POST: Error, DELETE: Optional</v>
      </c>
      <c r="I5" t="s">
        <v>170</v>
      </c>
    </row>
    <row r="6" spans="1:9">
      <c r="A6" t="str">
        <f>IF(Controls!Y7,Controls!R7&amp;" Section","")</f>
        <v/>
      </c>
      <c r="B6" t="str">
        <f>IF(Controls!Z7,Controls!S7&amp;" Function Set","")</f>
        <v/>
      </c>
      <c r="C6" t="str">
        <f>Controls!B7&amp;" Resource"</f>
        <v>DeviceStatus Resource</v>
      </c>
      <c r="D6" t="str">
        <f>T(Controls!P7)</f>
        <v>Contains the current operational state of the associated EndDevice or SelfDevice.</v>
      </c>
      <c r="E6" t="str">
        <f>"Sample URI: "&amp;Controls!C7</f>
        <v>Sample URI: /edev/{id1}/dstat</v>
      </c>
      <c r="F6" t="str">
        <f>"Request Representation: "&amp;Controls!V7&amp;IF(Controls!$B7="MirrorUsagePoint"," (PUT), MirrorMeterReading (POST), MirrorMeterReadingList (POST)","")</f>
        <v>Request Representation: DeviceStatus</v>
      </c>
      <c r="G6" t="str">
        <f>"Response Representation: "&amp;Controls!W7</f>
        <v>Response Representation: DeviceStatus</v>
      </c>
      <c r="H6" t="str">
        <f>"Methods: "&amp;Controls!X7</f>
        <v>Methods: GET/HEAD: Mandatory, PUT: Mandatory, POST: Error, DELETE: Optional</v>
      </c>
      <c r="I6" t="s">
        <v>170</v>
      </c>
    </row>
    <row r="7" spans="1:9">
      <c r="A7" t="str">
        <f>IF(Controls!Y8,Controls!R8&amp;" Section","")</f>
        <v/>
      </c>
      <c r="B7" t="str">
        <f>IF(Controls!Z8,Controls!S8&amp;" Function Set","")</f>
        <v>Function Set Assignments Function Set</v>
      </c>
      <c r="C7" t="str">
        <f>Controls!B8&amp;" Resource"</f>
        <v>FunctionSetAssignmentsList Resource</v>
      </c>
      <c r="D7" t="str">
        <f>T(Controls!P8)</f>
        <v xml:space="preserve">Contains function set assignments present on the server and/or related to the indicated device. </v>
      </c>
      <c r="E7" t="str">
        <f>"Sample URI: "&amp;Controls!C8</f>
        <v>Sample URI: /edev/{id1}/fsa</v>
      </c>
      <c r="F7" t="str">
        <f>"Request Representation: "&amp;Controls!V8&amp;IF(Controls!$B8="MirrorUsagePoint"," (PUT), MirrorMeterReading (POST), MirrorMeterReadingList (POST)","")</f>
        <v>Request Representation: FunctionSetAssignments</v>
      </c>
      <c r="G7" t="str">
        <f>"Response Representation: "&amp;Controls!W8</f>
        <v>Response Representation: FunctionSetAssignmentsList</v>
      </c>
      <c r="H7" t="str">
        <f>"Methods: "&amp;Controls!X8</f>
        <v>Methods: GET/HEAD: Mandatory, PUT: Error, POST: Discouraged, DELETE: Error</v>
      </c>
      <c r="I7" t="s">
        <v>170</v>
      </c>
    </row>
    <row r="8" spans="1:9">
      <c r="A8" t="str">
        <f>IF(Controls!Y9,Controls!R9&amp;" Section","")</f>
        <v/>
      </c>
      <c r="B8" t="str">
        <f>IF(Controls!Z9,Controls!S9&amp;" Function Set","")</f>
        <v/>
      </c>
      <c r="C8" t="str">
        <f>Controls!B9&amp;" Resource"</f>
        <v>FunctionSetAssignments Resource</v>
      </c>
      <c r="D8" t="str">
        <f>T(Controls!P9)</f>
        <v>Contains links to the specific function set assignments.</v>
      </c>
      <c r="E8" t="str">
        <f>"Sample URI: "&amp;Controls!C9</f>
        <v>Sample URI: /edev/{id1}/fsa/{id2}</v>
      </c>
      <c r="F8" t="str">
        <f>"Request Representation: "&amp;Controls!V9&amp;IF(Controls!$B9="MirrorUsagePoint"," (PUT), MirrorMeterReading (POST), MirrorMeterReadingList (POST)","")</f>
        <v>Request Representation: FunctionSetAssignments</v>
      </c>
      <c r="G8" t="str">
        <f>"Response Representation: "&amp;Controls!W9</f>
        <v>Response Representation: FunctionSetAssignments</v>
      </c>
      <c r="H8" t="str">
        <f>"Methods: "&amp;Controls!X9</f>
        <v>Methods: GET/HEAD: Mandatory, PUT: Error, POST: Error, DELETE: Discouraged</v>
      </c>
      <c r="I8" t="s">
        <v>170</v>
      </c>
    </row>
    <row r="9" spans="1:9">
      <c r="A9" t="str">
        <f>IF(Controls!Y10,Controls!R10&amp;" Section","")</f>
        <v/>
      </c>
      <c r="B9" t="str">
        <f>IF(Controls!Z10,Controls!S10&amp;" Function Set","")</f>
        <v>Subscription/Notification Mechanism Function Set</v>
      </c>
      <c r="C9" t="str">
        <f>Controls!B10&amp;" Resource"</f>
        <v>SubscriptionList Resource</v>
      </c>
      <c r="D9" t="str">
        <f>T(Controls!P10)</f>
        <v>Contains subscriptions related to the indicated device. Documented in Subscription / Notification Mechanism.</v>
      </c>
      <c r="E9" t="str">
        <f>"Sample URI: "&amp;Controls!C10</f>
        <v>Sample URI: /edev/{id1}/sub</v>
      </c>
      <c r="F9" t="str">
        <f>"Request Representation: "&amp;Controls!V10&amp;IF(Controls!$B10="MirrorUsagePoint"," (PUT), MirrorMeterReading (POST), MirrorMeterReadingList (POST)","")</f>
        <v>Request Representation: Subscription</v>
      </c>
      <c r="G9" t="str">
        <f>"Response Representation: "&amp;Controls!W10</f>
        <v>Response Representation: SubscriptionList</v>
      </c>
      <c r="H9" t="str">
        <f>"Methods: "&amp;Controls!X10</f>
        <v>Methods: GET/HEAD: Mandatory, PUT: Error, POST: Mandatory, DELETE: Error</v>
      </c>
      <c r="I9" t="s">
        <v>170</v>
      </c>
    </row>
    <row r="10" spans="1:9">
      <c r="A10" t="str">
        <f>IF(Controls!Y11,Controls!R11&amp;" Section","")</f>
        <v/>
      </c>
      <c r="B10" t="str">
        <f>IF(Controls!Z11,Controls!S11&amp;" Function Set","")</f>
        <v/>
      </c>
      <c r="C10" t="str">
        <f>Controls!B11&amp;" Resource"</f>
        <v>Subscription Resource</v>
      </c>
      <c r="D10" t="str">
        <f>T(Controls!P11)</f>
        <v>A specific subscription</v>
      </c>
      <c r="E10" t="str">
        <f>"Sample URI: "&amp;Controls!C11</f>
        <v>Sample URI: /edev/{id1}/sub/{id2}</v>
      </c>
      <c r="F10" t="str">
        <f>"Request Representation: "&amp;Controls!V11&amp;IF(Controls!$B11="MirrorUsagePoint"," (PUT), MirrorMeterReading (POST), MirrorMeterReadingList (POST)","")</f>
        <v>Request Representation: Subscription</v>
      </c>
      <c r="G10" t="str">
        <f>"Response Representation: "&amp;Controls!W11</f>
        <v>Response Representation: Subscription</v>
      </c>
      <c r="H10" t="str">
        <f>"Methods: "&amp;Controls!X11</f>
        <v>Methods: GET/HEAD: Mandatory, PUT: Mandatory, POST: Error, DELETE: Mandatory</v>
      </c>
      <c r="I10" t="s">
        <v>170</v>
      </c>
    </row>
    <row r="11" spans="1:9">
      <c r="A11" t="str">
        <f>IF(Controls!Y12,Controls!R12&amp;" Section","")</f>
        <v/>
      </c>
      <c r="B11" t="str">
        <f>IF(Controls!Z12,Controls!S12&amp;" Function Set","")</f>
        <v/>
      </c>
      <c r="C11" t="str">
        <f>Controls!B12&amp;" Resource"</f>
        <v>NotificationList Resource</v>
      </c>
      <c r="D11" t="str">
        <f>T(Controls!P12)</f>
        <v>A list of notifications</v>
      </c>
      <c r="E11" t="str">
        <f>"Sample URI: "&amp;Controls!C12</f>
        <v>Sample URI: /ntfy</v>
      </c>
      <c r="F11" t="str">
        <f>"Request Representation: "&amp;Controls!V12&amp;IF(Controls!$B12="MirrorUsagePoint"," (PUT), MirrorMeterReading (POST), MirrorMeterReadingList (POST)","")</f>
        <v>Request Representation: Notification</v>
      </c>
      <c r="G11" t="str">
        <f>"Response Representation: "&amp;Controls!W12</f>
        <v>Response Representation: NotificationList</v>
      </c>
      <c r="H11" t="str">
        <f>"Methods: "&amp;Controls!X12</f>
        <v>Methods: GET/HEAD: Discouraged, PUT: Error, POST: Mandatory, DELETE: Error</v>
      </c>
      <c r="I11" t="s">
        <v>170</v>
      </c>
    </row>
    <row r="12" spans="1:9">
      <c r="A12" t="str">
        <f>IF(Controls!Y13,Controls!R13&amp;" Section","")</f>
        <v/>
      </c>
      <c r="B12" t="str">
        <f>IF(Controls!Z13,Controls!S13&amp;" Function Set","")</f>
        <v/>
      </c>
      <c r="C12" t="str">
        <f>Controls!B13&amp;" Resource"</f>
        <v>Notification Resource</v>
      </c>
      <c r="D12" t="str">
        <f>T(Controls!P13)</f>
        <v>A specific notification</v>
      </c>
      <c r="E12" t="str">
        <f>"Sample URI: "&amp;Controls!C13</f>
        <v>Sample URI: /ntfy/{id1}</v>
      </c>
      <c r="F12" t="str">
        <f>"Request Representation: "&amp;Controls!V13&amp;IF(Controls!$B13="MirrorUsagePoint"," (PUT), MirrorMeterReading (POST), MirrorMeterReadingList (POST)","")</f>
        <v>Request Representation: Notification</v>
      </c>
      <c r="G12" t="str">
        <f>"Response Representation: "&amp;Controls!W13</f>
        <v>Response Representation: Notification</v>
      </c>
      <c r="H12" t="str">
        <f>"Methods: "&amp;Controls!X13</f>
        <v>Methods: GET/HEAD: Discouraged, PUT: Error, POST: Error, DELETE: Error</v>
      </c>
      <c r="I12" t="s">
        <v>170</v>
      </c>
    </row>
    <row r="13" spans="1:9">
      <c r="A13" t="str">
        <f>IF(Controls!Y14,Controls!R14&amp;" Section","")</f>
        <v/>
      </c>
      <c r="B13" t="str">
        <f>IF(Controls!Z14,Controls!S14&amp;" Function Set","")</f>
        <v>Response Function Set</v>
      </c>
      <c r="C13" t="str">
        <f>Controls!B14&amp;" Resource"</f>
        <v>ResponseSetList Resource</v>
      </c>
      <c r="D13" t="str">
        <f>T(Controls!P14)</f>
        <v>List of ResponseSet instances or channels. Devices implementing the ResponseSetList resource MAY support multiple instances of ResponseSet</v>
      </c>
      <c r="E13" t="str">
        <f>"Sample URI: "&amp;Controls!C14</f>
        <v>Sample URI: /rsps</v>
      </c>
      <c r="F13" t="str">
        <f>"Request Representation: "&amp;Controls!V14&amp;IF(Controls!$B14="MirrorUsagePoint"," (PUT), MirrorMeterReading (POST), MirrorMeterReadingList (POST)","")</f>
        <v>Request Representation: ResponseSet</v>
      </c>
      <c r="G13" t="str">
        <f>"Response Representation: "&amp;Controls!W14</f>
        <v>Response Representation: ResponseSetList</v>
      </c>
      <c r="H13" t="str">
        <f>"Methods: "&amp;Controls!X14</f>
        <v>Methods: GET/HEAD: Optional, PUT: Error, POST: Discouraged, DELETE: Error</v>
      </c>
      <c r="I13" t="s">
        <v>170</v>
      </c>
    </row>
    <row r="14" spans="1:9">
      <c r="A14" t="str">
        <f>IF(Controls!Y15,Controls!R15&amp;" Section","")</f>
        <v/>
      </c>
      <c r="B14" t="str">
        <f>IF(Controls!Z15,Controls!S15&amp;" Function Set","")</f>
        <v/>
      </c>
      <c r="C14" t="str">
        <f>Controls!B15&amp;" Resource"</f>
        <v>ResponseSet Resource</v>
      </c>
      <c r="D14" t="str">
        <f>T(Controls!P15)</f>
        <v>Specific ResponseSet instance. This resource can be thought of as a particular ResponseList or channel.</v>
      </c>
      <c r="E14" t="str">
        <f>"Sample URI: "&amp;Controls!C15</f>
        <v>Sample URI: /rsps/{id1}</v>
      </c>
      <c r="F14" t="str">
        <f>"Request Representation: "&amp;Controls!V15&amp;IF(Controls!$B15="MirrorUsagePoint"," (PUT), MirrorMeterReading (POST), MirrorMeterReadingList (POST)","")</f>
        <v>Request Representation: ResponseSet</v>
      </c>
      <c r="G14" t="str">
        <f>"Response Representation: "&amp;Controls!W15</f>
        <v>Response Representation: ResponseSet</v>
      </c>
      <c r="H14" t="str">
        <f>"Methods: "&amp;Controls!X15</f>
        <v>Methods: GET/HEAD: Optional, PUT: Error, POST: Error, DELETE: Discouraged</v>
      </c>
      <c r="I14" t="s">
        <v>170</v>
      </c>
    </row>
    <row r="15" spans="1:9">
      <c r="A15" t="str">
        <f>IF(Controls!Y16,Controls!R16&amp;" Section","")</f>
        <v/>
      </c>
      <c r="B15" t="str">
        <f>IF(Controls!Z16,Controls!S16&amp;" Function Set","")</f>
        <v/>
      </c>
      <c r="C15" t="str">
        <f>Controls!B16&amp;" Resource"</f>
        <v>ResponseList Resource</v>
      </c>
      <c r="D15" t="str">
        <f>T(Controls!P16)</f>
        <v xml:space="preserve">List of Response instances. </v>
      </c>
      <c r="E15" t="str">
        <f>"Sample URI: "&amp;Controls!C16</f>
        <v>Sample URI: /rsps/{id1}/rsp</v>
      </c>
      <c r="F15" t="str">
        <f>"Request Representation: "&amp;Controls!V16&amp;IF(Controls!$B16="MirrorUsagePoint"," (PUT), MirrorMeterReading (POST), MirrorMeterReadingList (POST)","")</f>
        <v>Request Representation: Response</v>
      </c>
      <c r="G15" t="str">
        <f>"Response Representation: "&amp;Controls!W16</f>
        <v>Response Representation: ResponseList</v>
      </c>
      <c r="H15" t="str">
        <f>"Methods: "&amp;Controls!X16</f>
        <v>Methods: GET/HEAD: Optional, PUT: Error, POST: Mandatory, DELETE: Error</v>
      </c>
      <c r="I15" t="s">
        <v>170</v>
      </c>
    </row>
    <row r="16" spans="1:9">
      <c r="A16" t="str">
        <f>IF(Controls!Y17,Controls!R17&amp;" Section","")</f>
        <v/>
      </c>
      <c r="B16" t="str">
        <f>IF(Controls!Z17,Controls!S17&amp;" Function Set","")</f>
        <v/>
      </c>
      <c r="C16" t="str">
        <f>Controls!B17&amp;" Resource"</f>
        <v>Response Resource</v>
      </c>
      <c r="D16" t="str">
        <f>T(Controls!P17)</f>
        <v xml:space="preserve">Specific Response instance. </v>
      </c>
      <c r="E16" t="str">
        <f>"Sample URI: "&amp;Controls!C17</f>
        <v>Sample URI: /rsps/{id1}/rsp/{id2}</v>
      </c>
      <c r="F16" t="str">
        <f>"Request Representation: "&amp;Controls!V17&amp;IF(Controls!$B17="MirrorUsagePoint"," (PUT), MirrorMeterReading (POST), MirrorMeterReadingList (POST)","")</f>
        <v>Request Representation: Response</v>
      </c>
      <c r="G16" t="str">
        <f>"Response Representation: "&amp;Controls!W17</f>
        <v>Response Representation: Response</v>
      </c>
      <c r="H16" t="str">
        <f>"Methods: "&amp;Controls!X17</f>
        <v>Methods: GET/HEAD: Optional, PUT: Error, POST: Error, DELETE: Optional</v>
      </c>
      <c r="I16" t="s">
        <v>170</v>
      </c>
    </row>
    <row r="17" spans="1:9">
      <c r="A17" t="str">
        <f>IF(Controls!Y18,Controls!R18&amp;" Section","")</f>
        <v/>
      </c>
      <c r="B17" t="str">
        <f>IF(Controls!Z18,Controls!S18&amp;" Function Set","")</f>
        <v/>
      </c>
      <c r="C17" t="str">
        <f>Controls!B18&amp;" Resource"</f>
        <v>PriceResponse Resource</v>
      </c>
      <c r="D17" t="str">
        <f>T(Controls!P18)</f>
        <v xml:space="preserve">A specific PriceResponse instance. </v>
      </c>
      <c r="E17" t="str">
        <f>"Sample URI: "&amp;Controls!C18</f>
        <v>Sample URI: /rsps/{id1}/rsp/{id2}</v>
      </c>
      <c r="F17" t="str">
        <f>"Request Representation: "&amp;Controls!V18&amp;IF(Controls!$B18="MirrorUsagePoint"," (PUT), MirrorMeterReading (POST), MirrorMeterReadingList (POST)","")</f>
        <v>Request Representation: PriceResponse</v>
      </c>
      <c r="G17" t="str">
        <f>"Response Representation: "&amp;Controls!W18</f>
        <v>Response Representation: PriceResponse</v>
      </c>
      <c r="H17" t="str">
        <f>"Methods: "&amp;Controls!X18</f>
        <v>Methods: GET/HEAD: Optional, PUT: Error, POST: Error, DELETE: Optional</v>
      </c>
      <c r="I17" t="s">
        <v>170</v>
      </c>
    </row>
    <row r="18" spans="1:9">
      <c r="A18" t="str">
        <f>IF(Controls!Y19,Controls!R19&amp;" Section","")</f>
        <v/>
      </c>
      <c r="B18" t="str">
        <f>IF(Controls!Z19,Controls!S19&amp;" Function Set","")</f>
        <v/>
      </c>
      <c r="C18" t="str">
        <f>Controls!B19&amp;" Resource"</f>
        <v>TextResponse Resource</v>
      </c>
      <c r="D18" t="str">
        <f>T(Controls!P19)</f>
        <v>A specific TextMessage Response instance.</v>
      </c>
      <c r="E18" t="str">
        <f>"Sample URI: "&amp;Controls!C19</f>
        <v>Sample URI: /rsps/{id1}/rsp/{id2}</v>
      </c>
      <c r="F18" t="str">
        <f>"Request Representation: "&amp;Controls!V19&amp;IF(Controls!$B19="MirrorUsagePoint"," (PUT), MirrorMeterReading (POST), MirrorMeterReadingList (POST)","")</f>
        <v>Request Representation: TextResponse</v>
      </c>
      <c r="G18" t="str">
        <f>"Response Representation: "&amp;Controls!W19</f>
        <v>Response Representation: TextResponse</v>
      </c>
      <c r="H18" t="str">
        <f>"Methods: "&amp;Controls!X19</f>
        <v>Methods: GET/HEAD: Optional, PUT: Error, POST: Error, DELETE: Optional</v>
      </c>
      <c r="I18" t="s">
        <v>170</v>
      </c>
    </row>
    <row r="19" spans="1:9">
      <c r="A19" t="str">
        <f>IF(Controls!Y20,Controls!R20&amp;" Section","")</f>
        <v/>
      </c>
      <c r="B19" t="str">
        <f>IF(Controls!Z20,Controls!S20&amp;" Function Set","")</f>
        <v/>
      </c>
      <c r="C19" t="str">
        <f>Controls!B20&amp;" Resource"</f>
        <v>DERControlResponse Resource</v>
      </c>
      <c r="D19" t="str">
        <f>T(Controls!P20)</f>
        <v>A specific DERControl Response instance.</v>
      </c>
      <c r="E19" t="str">
        <f>"Sample URI: "&amp;Controls!C20</f>
        <v>Sample URI: /rsps/{id1}/rsp/{id2}</v>
      </c>
      <c r="F19" t="str">
        <f>"Request Representation: "&amp;Controls!V20&amp;IF(Controls!$B20="MirrorUsagePoint"," (PUT), MirrorMeterReading (POST), MirrorMeterReadingList (POST)","")</f>
        <v>Request Representation: DERControlResponse</v>
      </c>
      <c r="G19" t="str">
        <f>"Response Representation: "&amp;Controls!W20</f>
        <v>Response Representation: DERControlResponse</v>
      </c>
      <c r="H19" t="str">
        <f>"Methods: "&amp;Controls!X20</f>
        <v>Methods: GET/HEAD: Optional, PUT: Error, POST: Error, DELETE: Optional</v>
      </c>
      <c r="I19" t="s">
        <v>170</v>
      </c>
    </row>
    <row r="20" spans="1:9">
      <c r="A20" t="str">
        <f>IF(Controls!Y21,Controls!R21&amp;" Section","")</f>
        <v/>
      </c>
      <c r="B20" t="str">
        <f>IF(Controls!Z21,Controls!S21&amp;" Function Set","")</f>
        <v/>
      </c>
      <c r="C20" t="str">
        <f>Controls!B21&amp;" Resource"</f>
        <v>FlowReservationResponseResponse Resource</v>
      </c>
      <c r="D20" t="str">
        <f>T(Controls!P21)</f>
        <v>A specific FlowReservationResponse Response instance.</v>
      </c>
      <c r="E20" t="str">
        <f>"Sample URI: "&amp;Controls!C21</f>
        <v>Sample URI: /rsps/{id1}/rsp/{id2}</v>
      </c>
      <c r="F20" t="str">
        <f>"Request Representation: "&amp;Controls!V21&amp;IF(Controls!$B21="MirrorUsagePoint"," (PUT), MirrorMeterReading (POST), MirrorMeterReadingList (POST)","")</f>
        <v>Request Representation: FlowReservationResponseResponse</v>
      </c>
      <c r="G20" t="str">
        <f>"Response Representation: "&amp;Controls!W21</f>
        <v>Response Representation: FlowReservationResponseResponse</v>
      </c>
      <c r="H20" t="str">
        <f>"Methods: "&amp;Controls!X21</f>
        <v>Methods: GET/HEAD: Optional, PUT: Error, POST: Error, DELETE: Optional</v>
      </c>
      <c r="I20" t="s">
        <v>170</v>
      </c>
    </row>
    <row r="21" spans="1:9">
      <c r="A21" t="str">
        <f>IF(Controls!Y22,Controls!R22&amp;" Section","")</f>
        <v/>
      </c>
      <c r="B21" t="str">
        <f>IF(Controls!Z22,Controls!S22&amp;" Function Set","")</f>
        <v/>
      </c>
      <c r="C21" t="str">
        <f>Controls!B22&amp;" Resource"</f>
        <v>DrResponse Resource</v>
      </c>
      <c r="D21" t="str">
        <f>T(Controls!P22)</f>
        <v>A specific Demand Response / Load Control EndDeviceControl Response (DrResponse) instance.</v>
      </c>
      <c r="E21" t="str">
        <f>"Sample URI: "&amp;Controls!C22</f>
        <v>Sample URI: /rsps/{id1}/rsp/{id2}</v>
      </c>
      <c r="F21" t="str">
        <f>"Request Representation: "&amp;Controls!V22&amp;IF(Controls!$B22="MirrorUsagePoint"," (PUT), MirrorMeterReading (POST), MirrorMeterReadingList (POST)","")</f>
        <v>Request Representation: DrResponse</v>
      </c>
      <c r="G21" t="str">
        <f>"Response Representation: "&amp;Controls!W22</f>
        <v>Response Representation: DrResponse</v>
      </c>
      <c r="H21" t="str">
        <f>"Methods: "&amp;Controls!X22</f>
        <v>Methods: GET/HEAD: Optional, PUT: Error, POST: Error, DELETE: Optional</v>
      </c>
      <c r="I21" t="s">
        <v>170</v>
      </c>
    </row>
    <row r="22" spans="1:9">
      <c r="A22" t="str">
        <f>IF(Controls!Y23,Controls!R23&amp;" Section","")</f>
        <v>Common Resources Section</v>
      </c>
      <c r="B22" t="str">
        <f>IF(Controls!Z23,Controls!S23&amp;" Function Set","")</f>
        <v>Time Function Set</v>
      </c>
      <c r="C22" t="str">
        <f>Controls!B23&amp;" Resource"</f>
        <v>Time Resource</v>
      </c>
      <c r="D22" t="str">
        <f>T(Controls!P23)</f>
        <v>Provides the Time Resource.</v>
      </c>
      <c r="E22" t="str">
        <f>"Sample URI: "&amp;Controls!C23</f>
        <v>Sample URI: /tm</v>
      </c>
      <c r="F22" t="str">
        <f>"Request Representation: "&amp;Controls!V23&amp;IF(Controls!$B23="MirrorUsagePoint"," (PUT), MirrorMeterReading (POST), MirrorMeterReadingList (POST)","")</f>
        <v>Request Representation: Time</v>
      </c>
      <c r="G22" t="str">
        <f>"Response Representation: "&amp;Controls!W23</f>
        <v>Response Representation: Time</v>
      </c>
      <c r="H22" t="str">
        <f>"Methods: "&amp;Controls!X23</f>
        <v>Methods: GET/HEAD: Mandatory, PUT: Discouraged, POST: Error, DELETE: Error</v>
      </c>
      <c r="I22" t="s">
        <v>170</v>
      </c>
    </row>
    <row r="23" spans="1:9">
      <c r="A23" t="str">
        <f>IF(Controls!Y24,Controls!R24&amp;" Section","")</f>
        <v/>
      </c>
      <c r="B23" t="str">
        <f>IF(Controls!Z24,Controls!S24&amp;" Function Set","")</f>
        <v>Device Information Function Set</v>
      </c>
      <c r="C23" t="str">
        <f>Controls!B24&amp;" Resource"</f>
        <v>DeviceInformation Resource</v>
      </c>
      <c r="D23" t="str">
        <f>T(Controls!P24)</f>
        <v>Device Information of the associated EndDevice or SelfDevice.</v>
      </c>
      <c r="E23" t="str">
        <f>"Sample URI: "&amp;Controls!C24</f>
        <v>Sample URI: /edev/{id1}/di</v>
      </c>
      <c r="F23" t="str">
        <f>"Request Representation: "&amp;Controls!V24&amp;IF(Controls!$B24="MirrorUsagePoint"," (PUT), MirrorMeterReading (POST), MirrorMeterReadingList (POST)","")</f>
        <v>Request Representation: DeviceInformation</v>
      </c>
      <c r="G23" t="str">
        <f>"Response Representation: "&amp;Controls!W24</f>
        <v>Response Representation: DeviceInformation</v>
      </c>
      <c r="H23" t="str">
        <f>"Methods: "&amp;Controls!X24</f>
        <v>Methods: GET/HEAD: Mandatory, PUT: Mandatory, POST: Error, DELETE: Optional</v>
      </c>
      <c r="I23" t="s">
        <v>170</v>
      </c>
    </row>
    <row r="24" spans="1:9">
      <c r="A24" t="str">
        <f>IF(Controls!Y25,Controls!R25&amp;" Section","")</f>
        <v/>
      </c>
      <c r="B24" t="str">
        <f>IF(Controls!Z25,Controls!S25&amp;" Function Set","")</f>
        <v/>
      </c>
      <c r="C24" t="str">
        <f>Controls!B25&amp;" Resource"</f>
        <v>SupportedLocaleList Resource</v>
      </c>
      <c r="D24" t="str">
        <f>T(Controls!P25)</f>
        <v>A List of supported locales for the associated EndDevice or SelfDevice.</v>
      </c>
      <c r="E24" t="str">
        <f>"Sample URI: "&amp;Controls!C25</f>
        <v>Sample URI: /edev/{id1}/di/loc</v>
      </c>
      <c r="F24" t="str">
        <f>"Request Representation: "&amp;Controls!V25&amp;IF(Controls!$B25="MirrorUsagePoint"," (PUT), MirrorMeterReading (POST), MirrorMeterReadingList (POST)","")</f>
        <v>Request Representation: SupportedLocale</v>
      </c>
      <c r="G24" t="str">
        <f>"Response Representation: "&amp;Controls!W25</f>
        <v>Response Representation: SupportedLocaleList</v>
      </c>
      <c r="H24" t="str">
        <f>"Methods: "&amp;Controls!X25</f>
        <v>Methods: GET/HEAD: Mandatory, PUT: Error, POST: Mandatory, DELETE: Error</v>
      </c>
      <c r="I24" t="s">
        <v>170</v>
      </c>
    </row>
    <row r="25" spans="1:9">
      <c r="A25" t="str">
        <f>IF(Controls!Y26,Controls!R26&amp;" Section","")</f>
        <v/>
      </c>
      <c r="B25" t="str">
        <f>IF(Controls!Z26,Controls!S26&amp;" Function Set","")</f>
        <v/>
      </c>
      <c r="C25" t="str">
        <f>Controls!B26&amp;" Resource"</f>
        <v>SupportedLocale Resource</v>
      </c>
      <c r="D25" t="str">
        <f>T(Controls!P26)</f>
        <v>A specific supported locale for the associated EndDevice or SelfDevice.</v>
      </c>
      <c r="E25" t="str">
        <f>"Sample URI: "&amp;Controls!C26</f>
        <v>Sample URI: /edev/{id1}/di/loc/{id2}</v>
      </c>
      <c r="F25" t="str">
        <f>"Request Representation: "&amp;Controls!V26&amp;IF(Controls!$B26="MirrorUsagePoint"," (PUT), MirrorMeterReading (POST), MirrorMeterReadingList (POST)","")</f>
        <v>Request Representation: SupportedLocale</v>
      </c>
      <c r="G25" t="str">
        <f>"Response Representation: "&amp;Controls!W26</f>
        <v>Response Representation: SupportedLocale</v>
      </c>
      <c r="H25" t="str">
        <f>"Methods: "&amp;Controls!X26</f>
        <v>Methods: GET/HEAD: Mandatory, PUT: Mandatory, POST: Error, DELETE: Mandatory</v>
      </c>
      <c r="I25" t="s">
        <v>170</v>
      </c>
    </row>
    <row r="26" spans="1:9">
      <c r="A26" t="str">
        <f>IF(Controls!Y27,Controls!R27&amp;" Section","")</f>
        <v/>
      </c>
      <c r="B26" t="str">
        <f>IF(Controls!Z27,Controls!S27&amp;" Function Set","")</f>
        <v>Power Status Function Set</v>
      </c>
      <c r="C26" t="str">
        <f>Controls!B27&amp;" Resource"</f>
        <v>PowerStatus Resource</v>
      </c>
      <c r="D26" t="str">
        <f>T(Controls!P27)</f>
        <v>Contains the power status for the associated EndDevice or SelfDevice.</v>
      </c>
      <c r="E26" t="str">
        <f>"Sample URI: "&amp;Controls!C27</f>
        <v>Sample URI: /edev/{id1}/ps</v>
      </c>
      <c r="F26" t="str">
        <f>"Request Representation: "&amp;Controls!V27&amp;IF(Controls!$B27="MirrorUsagePoint"," (PUT), MirrorMeterReading (POST), MirrorMeterReadingList (POST)","")</f>
        <v>Request Representation: PowerStatus</v>
      </c>
      <c r="G26" t="str">
        <f>"Response Representation: "&amp;Controls!W27</f>
        <v>Response Representation: PowerStatus</v>
      </c>
      <c r="H26" t="str">
        <f>"Methods: "&amp;Controls!X27</f>
        <v>Methods: GET/HEAD: Mandatory, PUT: Mandatory, POST: Error, DELETE: Error</v>
      </c>
      <c r="I26" t="s">
        <v>170</v>
      </c>
    </row>
    <row r="27" spans="1:9">
      <c r="A27" t="str">
        <f>IF(Controls!Y28,Controls!R28&amp;" Section","")</f>
        <v/>
      </c>
      <c r="B27" t="str">
        <f>IF(Controls!Z28,Controls!S28&amp;" Function Set","")</f>
        <v>Network Status Function Set</v>
      </c>
      <c r="C27" t="str">
        <f>Controls!B28&amp;" Resource"</f>
        <v>IPInterfaceList Resource</v>
      </c>
      <c r="D27" t="str">
        <f>T(Controls!P28)</f>
        <v>List of IPInterface instances on the associated EndDevice or SelfDevice.</v>
      </c>
      <c r="E27" t="str">
        <f>"Sample URI: "&amp;Controls!C28</f>
        <v>Sample URI: /edev/{id1}/ns</v>
      </c>
      <c r="F27" t="str">
        <f>"Request Representation: "&amp;Controls!V28&amp;IF(Controls!$B28="MirrorUsagePoint"," (PUT), MirrorMeterReading (POST), MirrorMeterReadingList (POST)","")</f>
        <v>Request Representation: IPInterface</v>
      </c>
      <c r="G27" t="str">
        <f>"Response Representation: "&amp;Controls!W28</f>
        <v>Response Representation: IPInterfaceList</v>
      </c>
      <c r="H27" t="str">
        <f>"Methods: "&amp;Controls!X28</f>
        <v>Methods: GET/HEAD: Mandatory, PUT: Error, POST: Optional, DELETE: Error</v>
      </c>
      <c r="I27" t="s">
        <v>170</v>
      </c>
    </row>
    <row r="28" spans="1:9">
      <c r="A28" t="str">
        <f>IF(Controls!Y29,Controls!R29&amp;" Section","")</f>
        <v/>
      </c>
      <c r="B28" t="str">
        <f>IF(Controls!Z29,Controls!S29&amp;" Function Set","")</f>
        <v/>
      </c>
      <c r="C28" t="str">
        <f>Controls!B29&amp;" Resource"</f>
        <v>IPInterface Resource</v>
      </c>
      <c r="D28" t="str">
        <f>T(Controls!P29)</f>
        <v>Specific IPInterface resource.  This resource may be thought of as network status information for a specific network (IP) layer interface.</v>
      </c>
      <c r="E28" t="str">
        <f>"Sample URI: "&amp;Controls!C29</f>
        <v>Sample URI: /edev/{id1}/ns/{id2}</v>
      </c>
      <c r="F28" t="str">
        <f>"Request Representation: "&amp;Controls!V29&amp;IF(Controls!$B29="MirrorUsagePoint"," (PUT), MirrorMeterReading (POST), MirrorMeterReadingList (POST)","")</f>
        <v>Request Representation: IPInterface</v>
      </c>
      <c r="G28" t="str">
        <f>"Response Representation: "&amp;Controls!W29</f>
        <v>Response Representation: IPInterface</v>
      </c>
      <c r="H28" t="str">
        <f>"Methods: "&amp;Controls!X29</f>
        <v>Methods: GET/HEAD: Mandatory, PUT: Optional, POST: Error, DELETE: Optional</v>
      </c>
      <c r="I28" t="s">
        <v>170</v>
      </c>
    </row>
    <row r="29" spans="1:9">
      <c r="A29" t="str">
        <f>IF(Controls!Y30,Controls!R30&amp;" Section","")</f>
        <v/>
      </c>
      <c r="B29" t="str">
        <f>IF(Controls!Z30,Controls!S30&amp;" Function Set","")</f>
        <v/>
      </c>
      <c r="C29" t="str">
        <f>Controls!B30&amp;" Resource"</f>
        <v>IPAddrList Resource</v>
      </c>
      <c r="D29" t="str">
        <f>T(Controls!P30)</f>
        <v>List of IP Addresses</v>
      </c>
      <c r="E29" t="str">
        <f>"Sample URI: "&amp;Controls!C30</f>
        <v>Sample URI: /edev/{id1}/ns/{id2}/addr</v>
      </c>
      <c r="F29" t="str">
        <f>"Request Representation: "&amp;Controls!V30&amp;IF(Controls!$B30="MirrorUsagePoint"," (PUT), MirrorMeterReading (POST), MirrorMeterReadingList (POST)","")</f>
        <v>Request Representation: IPAddr</v>
      </c>
      <c r="G29" t="str">
        <f>"Response Representation: "&amp;Controls!W30</f>
        <v>Response Representation: IPAddrList</v>
      </c>
      <c r="H29" t="str">
        <f>"Methods: "&amp;Controls!X30</f>
        <v>Methods: GET/HEAD: Mandatory, PUT: Error, POST: Optional, DELETE: Error</v>
      </c>
      <c r="I29" t="s">
        <v>170</v>
      </c>
    </row>
    <row r="30" spans="1:9">
      <c r="A30" t="str">
        <f>IF(Controls!Y31,Controls!R31&amp;" Section","")</f>
        <v/>
      </c>
      <c r="B30" t="str">
        <f>IF(Controls!Z31,Controls!S31&amp;" Function Set","")</f>
        <v/>
      </c>
      <c r="C30" t="str">
        <f>Controls!B31&amp;" Resource"</f>
        <v>IPAddr Resource</v>
      </c>
      <c r="D30" t="str">
        <f>T(Controls!P31)</f>
        <v>A specific IP Address</v>
      </c>
      <c r="E30" t="str">
        <f>"Sample URI: "&amp;Controls!C31</f>
        <v>Sample URI: /edev/{id1}/ns/{id2}/addr/{id3}</v>
      </c>
      <c r="F30" t="str">
        <f>"Request Representation: "&amp;Controls!V31&amp;IF(Controls!$B31="MirrorUsagePoint"," (PUT), MirrorMeterReading (POST), MirrorMeterReadingList (POST)","")</f>
        <v>Request Representation: IPAddr</v>
      </c>
      <c r="G30" t="str">
        <f>"Response Representation: "&amp;Controls!W31</f>
        <v>Response Representation: IPAddr</v>
      </c>
      <c r="H30" t="str">
        <f>"Methods: "&amp;Controls!X31</f>
        <v>Methods: GET/HEAD: Mandatory, PUT: Optional, POST: Error, DELETE: Optional</v>
      </c>
      <c r="I30" t="s">
        <v>170</v>
      </c>
    </row>
    <row r="31" spans="1:9">
      <c r="A31" t="str">
        <f>IF(Controls!Y32,Controls!R32&amp;" Section","")</f>
        <v/>
      </c>
      <c r="B31" t="str">
        <f>IF(Controls!Z32,Controls!S32&amp;" Function Set","")</f>
        <v/>
      </c>
      <c r="C31" t="str">
        <f>Controls!B32&amp;" Resource"</f>
        <v>RPLInstanceList Resource</v>
      </c>
      <c r="D31" t="str">
        <f>T(Controls!P32)</f>
        <v xml:space="preserve">List of RPL instances that the IPAddr is a member </v>
      </c>
      <c r="E31" t="str">
        <f>"Sample URI: "&amp;Controls!C32</f>
        <v>Sample URI: /edev/{id1}/ns/{id2}/addr/{id3}/rpl</v>
      </c>
      <c r="F31" t="str">
        <f>"Request Representation: "&amp;Controls!V32&amp;IF(Controls!$B32="MirrorUsagePoint"," (PUT), MirrorMeterReading (POST), MirrorMeterReadingList (POST)","")</f>
        <v>Request Representation: RPLInstance</v>
      </c>
      <c r="G31" t="str">
        <f>"Response Representation: "&amp;Controls!W32</f>
        <v>Response Representation: RPLInstanceList</v>
      </c>
      <c r="H31" t="str">
        <f>"Methods: "&amp;Controls!X32</f>
        <v>Methods: GET/HEAD: Mandatory, PUT: Error, POST: Optional, DELETE: Error</v>
      </c>
      <c r="I31" t="s">
        <v>170</v>
      </c>
    </row>
    <row r="32" spans="1:9">
      <c r="A32" t="str">
        <f>IF(Controls!Y33,Controls!R33&amp;" Section","")</f>
        <v/>
      </c>
      <c r="B32" t="str">
        <f>IF(Controls!Z33,Controls!S33&amp;" Function Set","")</f>
        <v/>
      </c>
      <c r="C32" t="str">
        <f>Controls!B33&amp;" Resource"</f>
        <v>RPLInstance Resource</v>
      </c>
      <c r="D32" t="str">
        <f>T(Controls!P33)</f>
        <v>A specific RPL Instance</v>
      </c>
      <c r="E32" t="str">
        <f>"Sample URI: "&amp;Controls!C33</f>
        <v>Sample URI: /edev/{id1}/ns/{id2}/addr/{id3}/rpl/{id4}</v>
      </c>
      <c r="F32" t="str">
        <f>"Request Representation: "&amp;Controls!V33&amp;IF(Controls!$B33="MirrorUsagePoint"," (PUT), MirrorMeterReading (POST), MirrorMeterReadingList (POST)","")</f>
        <v>Request Representation: RPLInstance</v>
      </c>
      <c r="G32" t="str">
        <f>"Response Representation: "&amp;Controls!W33</f>
        <v>Response Representation: RPLInstance</v>
      </c>
      <c r="H32" t="str">
        <f>"Methods: "&amp;Controls!X33</f>
        <v>Methods: GET/HEAD: Mandatory, PUT: Optional, POST: Error, DELETE: Optional</v>
      </c>
      <c r="I32" t="s">
        <v>170</v>
      </c>
    </row>
    <row r="33" spans="1:9">
      <c r="A33" t="str">
        <f>IF(Controls!Y34,Controls!R34&amp;" Section","")</f>
        <v/>
      </c>
      <c r="B33" t="str">
        <f>IF(Controls!Z34,Controls!S34&amp;" Function Set","")</f>
        <v/>
      </c>
      <c r="C33" t="str">
        <f>Controls!B34&amp;" Resource"</f>
        <v>RPLSourceRoutesList Resource</v>
      </c>
      <c r="D33" t="str">
        <f>T(Controls!P34)</f>
        <v>List of RPL source routes</v>
      </c>
      <c r="E33" t="str">
        <f>"Sample URI: "&amp;Controls!C34</f>
        <v>Sample URI: /edev/{id1}/ns/{id2}/addr/{id3}/rpl/{id4}/srt</v>
      </c>
      <c r="F33" t="str">
        <f>"Request Representation: "&amp;Controls!V34&amp;IF(Controls!$B34="MirrorUsagePoint"," (PUT), MirrorMeterReading (POST), MirrorMeterReadingList (POST)","")</f>
        <v>Request Representation: RPLSourceRoutes</v>
      </c>
      <c r="G33" t="str">
        <f>"Response Representation: "&amp;Controls!W34</f>
        <v>Response Representation: RPLSourceRoutesList</v>
      </c>
      <c r="H33" t="str">
        <f>"Methods: "&amp;Controls!X34</f>
        <v>Methods: GET/HEAD: Mandatory, PUT: Error, POST: Optional, DELETE: Error</v>
      </c>
      <c r="I33" t="s">
        <v>170</v>
      </c>
    </row>
    <row r="34" spans="1:9">
      <c r="A34" t="str">
        <f>IF(Controls!Y35,Controls!R35&amp;" Section","")</f>
        <v/>
      </c>
      <c r="B34" t="str">
        <f>IF(Controls!Z35,Controls!S35&amp;" Function Set","")</f>
        <v/>
      </c>
      <c r="C34" t="str">
        <f>Controls!B35&amp;" Resource"</f>
        <v>RPLSourceRoutes Resource</v>
      </c>
      <c r="D34" t="str">
        <f>T(Controls!P35)</f>
        <v>A specific RPL source route</v>
      </c>
      <c r="E34" t="str">
        <f>"Sample URI: "&amp;Controls!C35</f>
        <v>Sample URI: /edev/{id1}/ns/{id2}/addr/{id3}/rpl/{id4}/srt/{id5}</v>
      </c>
      <c r="F34" t="str">
        <f>"Request Representation: "&amp;Controls!V35&amp;IF(Controls!$B35="MirrorUsagePoint"," (PUT), MirrorMeterReading (POST), MirrorMeterReadingList (POST)","")</f>
        <v>Request Representation: RPLSourceRoutes</v>
      </c>
      <c r="G34" t="str">
        <f>"Response Representation: "&amp;Controls!W35</f>
        <v>Response Representation: RPLSourceRoutes</v>
      </c>
      <c r="H34" t="str">
        <f>"Methods: "&amp;Controls!X35</f>
        <v>Methods: GET/HEAD: Mandatory, PUT: Optional, POST: Error, DELETE: Optional</v>
      </c>
      <c r="I34" t="s">
        <v>170</v>
      </c>
    </row>
    <row r="35" spans="1:9">
      <c r="A35" t="str">
        <f>IF(Controls!Y36,Controls!R36&amp;" Section","")</f>
        <v/>
      </c>
      <c r="B35" t="str">
        <f>IF(Controls!Z36,Controls!S36&amp;" Function Set","")</f>
        <v/>
      </c>
      <c r="C35" t="str">
        <f>Controls!B36&amp;" Resource"</f>
        <v>LLInterfaceList Resource</v>
      </c>
      <c r="D35" t="str">
        <f>T(Controls!P36)</f>
        <v>List of Link Layer Interfaces</v>
      </c>
      <c r="E35" t="str">
        <f>"Sample URI: "&amp;Controls!C36</f>
        <v>Sample URI: /edev/{id1}/ns/{id2}/ll</v>
      </c>
      <c r="F35" t="str">
        <f>"Request Representation: "&amp;Controls!V36&amp;IF(Controls!$B36="MirrorUsagePoint"," (PUT), MirrorMeterReading (POST), MirrorMeterReadingList (POST)","")</f>
        <v>Request Representation: LLInterface</v>
      </c>
      <c r="G35" t="str">
        <f>"Response Representation: "&amp;Controls!W36</f>
        <v>Response Representation: LLInterfaceList</v>
      </c>
      <c r="H35" t="str">
        <f>"Methods: "&amp;Controls!X36</f>
        <v>Methods: GET/HEAD: Mandatory, PUT: Error, POST: Optional, DELETE: Error</v>
      </c>
      <c r="I35" t="s">
        <v>170</v>
      </c>
    </row>
    <row r="36" spans="1:9">
      <c r="A36" t="str">
        <f>IF(Controls!Y37,Controls!R37&amp;" Section","")</f>
        <v/>
      </c>
      <c r="B36" t="str">
        <f>IF(Controls!Z37,Controls!S37&amp;" Function Set","")</f>
        <v/>
      </c>
      <c r="C36" t="str">
        <f>Controls!B37&amp;" Resource"</f>
        <v>LLInterface Resource</v>
      </c>
      <c r="D36" t="str">
        <f>T(Controls!P37)</f>
        <v>A specific Link Layer Interface</v>
      </c>
      <c r="E36" t="str">
        <f>"Sample URI: "&amp;Controls!C37</f>
        <v>Sample URI: /edev/{id1}/ns/{id2}/ll/{id3}</v>
      </c>
      <c r="F36" t="str">
        <f>"Request Representation: "&amp;Controls!V37&amp;IF(Controls!$B37="MirrorUsagePoint"," (PUT), MirrorMeterReading (POST), MirrorMeterReadingList (POST)","")</f>
        <v>Request Representation: LLInterface</v>
      </c>
      <c r="G36" t="str">
        <f>"Response Representation: "&amp;Controls!W37</f>
        <v>Response Representation: LLInterface</v>
      </c>
      <c r="H36" t="str">
        <f>"Methods: "&amp;Controls!X37</f>
        <v>Methods: GET/HEAD: Mandatory, PUT: Optional, POST: Error, DELETE: Optional</v>
      </c>
      <c r="I36" t="s">
        <v>170</v>
      </c>
    </row>
    <row r="37" spans="1:9">
      <c r="A37" t="str">
        <f>IF(Controls!Y38,Controls!R38&amp;" Section","")</f>
        <v/>
      </c>
      <c r="B37" t="str">
        <f>IF(Controls!Z38,Controls!S38&amp;" Function Set","")</f>
        <v/>
      </c>
      <c r="C37" t="str">
        <f>Controls!B38&amp;" Resource"</f>
        <v>NeighborList Resource</v>
      </c>
      <c r="D37" t="str">
        <f>T(Controls!P38)</f>
        <v>List of 802.15.4 neighbors</v>
      </c>
      <c r="E37" t="str">
        <f>"Sample URI: "&amp;Controls!C38</f>
        <v>Sample URI: /edev/{id1}/ns/{id2}/ll/{id3}/nbh</v>
      </c>
      <c r="F37" t="str">
        <f>"Request Representation: "&amp;Controls!V38&amp;IF(Controls!$B38="MirrorUsagePoint"," (PUT), MirrorMeterReading (POST), MirrorMeterReadingList (POST)","")</f>
        <v>Request Representation: Neighbor</v>
      </c>
      <c r="G37" t="str">
        <f>"Response Representation: "&amp;Controls!W38</f>
        <v>Response Representation: NeighborList</v>
      </c>
      <c r="H37" t="str">
        <f>"Methods: "&amp;Controls!X38</f>
        <v>Methods: GET/HEAD: Mandatory, PUT: Error, POST: Optional, DELETE: Error</v>
      </c>
      <c r="I37" t="s">
        <v>170</v>
      </c>
    </row>
    <row r="38" spans="1:9">
      <c r="A38" t="str">
        <f>IF(Controls!Y39,Controls!R39&amp;" Section","")</f>
        <v/>
      </c>
      <c r="B38" t="str">
        <f>IF(Controls!Z39,Controls!S39&amp;" Function Set","")</f>
        <v/>
      </c>
      <c r="C38" t="str">
        <f>Controls!B39&amp;" Resource"</f>
        <v>Neighbor Resource</v>
      </c>
      <c r="D38" t="str">
        <f>T(Controls!P39)</f>
        <v>A specific 802.15.4 neighbor</v>
      </c>
      <c r="E38" t="str">
        <f>"Sample URI: "&amp;Controls!C39</f>
        <v>Sample URI: /edev/{id1}/ns/{id2}/ll/{id3}/nbh/{id4}</v>
      </c>
      <c r="F38" t="str">
        <f>"Request Representation: "&amp;Controls!V39&amp;IF(Controls!$B39="MirrorUsagePoint"," (PUT), MirrorMeterReading (POST), MirrorMeterReadingList (POST)","")</f>
        <v>Request Representation: Neighbor</v>
      </c>
      <c r="G38" t="str">
        <f>"Response Representation: "&amp;Controls!W39</f>
        <v>Response Representation: Neighbor</v>
      </c>
      <c r="H38" t="str">
        <f>"Methods: "&amp;Controls!X39</f>
        <v>Methods: GET/HEAD: Mandatory, PUT: Optional, POST: Error, DELETE: Optional</v>
      </c>
      <c r="I38" t="s">
        <v>170</v>
      </c>
    </row>
    <row r="39" spans="1:9">
      <c r="A39" t="str">
        <f>IF(Controls!Y40,Controls!R40&amp;" Section","")</f>
        <v/>
      </c>
      <c r="B39" t="str">
        <f>IF(Controls!Z40,Controls!S40&amp;" Function Set","")</f>
        <v>Log Event Function Set</v>
      </c>
      <c r="C39" t="str">
        <f>Controls!B40&amp;" Resource"</f>
        <v>LogEventList Resource</v>
      </c>
      <c r="D39" t="str">
        <f>T(Controls!P40)</f>
        <v>A List of LogEvent instances.</v>
      </c>
      <c r="E39" t="str">
        <f>"Sample URI: "&amp;Controls!C40</f>
        <v>Sample URI: /edev/{id1}/lel</v>
      </c>
      <c r="F39" t="str">
        <f>"Request Representation: "&amp;Controls!V40&amp;IF(Controls!$B40="MirrorUsagePoint"," (PUT), MirrorMeterReading (POST), MirrorMeterReadingList (POST)","")</f>
        <v>Request Representation: LogEvent</v>
      </c>
      <c r="G39" t="str">
        <f>"Response Representation: "&amp;Controls!W40</f>
        <v>Response Representation: LogEventList</v>
      </c>
      <c r="H39" t="str">
        <f>"Methods: "&amp;Controls!X40</f>
        <v>Methods: GET/HEAD: Mandatory, PUT: Error, POST: Mandatory, DELETE: Error</v>
      </c>
      <c r="I39" t="s">
        <v>170</v>
      </c>
    </row>
    <row r="40" spans="1:9">
      <c r="A40" t="str">
        <f>IF(Controls!Y41,Controls!R41&amp;" Section","")</f>
        <v/>
      </c>
      <c r="B40" t="str">
        <f>IF(Controls!Z41,Controls!S41&amp;" Function Set","")</f>
        <v/>
      </c>
      <c r="C40" t="str">
        <f>Controls!B41&amp;" Resource"</f>
        <v>LogEvent Resource</v>
      </c>
      <c r="D40" t="str">
        <f>T(Controls!P41)</f>
        <v xml:space="preserve">A specific LogEvent entry from the LogEventList. </v>
      </c>
      <c r="E40" t="str">
        <f>"Sample URI: "&amp;Controls!C41</f>
        <v>Sample URI: /edev/{id1}/lel/{id2}</v>
      </c>
      <c r="F40" t="str">
        <f>"Request Representation: "&amp;Controls!V41&amp;IF(Controls!$B41="MirrorUsagePoint"," (PUT), MirrorMeterReading (POST), MirrorMeterReadingList (POST)","")</f>
        <v>Request Representation: LogEvent</v>
      </c>
      <c r="G40" t="str">
        <f>"Response Representation: "&amp;Controls!W41</f>
        <v>Response Representation: LogEvent</v>
      </c>
      <c r="H40" t="str">
        <f>"Methods: "&amp;Controls!X41</f>
        <v>Methods: GET/HEAD: Mandatory, PUT: Optional, POST: Error, DELETE: Mandatory</v>
      </c>
      <c r="I40" t="s">
        <v>170</v>
      </c>
    </row>
    <row r="41" spans="1:9">
      <c r="A41" t="str">
        <f>IF(Controls!Y42,Controls!R42&amp;" Section","")</f>
        <v>Smart Energy Resources Section</v>
      </c>
      <c r="B41" t="str">
        <f>IF(Controls!Z42,Controls!S42&amp;" Function Set","")</f>
        <v>Configuration Resource Function Set</v>
      </c>
      <c r="C41" t="str">
        <f>Controls!B42&amp;" Resource"</f>
        <v>Configuration Resource</v>
      </c>
      <c r="D41" t="str">
        <f>T(Controls!P42)</f>
        <v>Contains the configuration settings of the associated EndDevice or SelfDevice.</v>
      </c>
      <c r="E41" t="str">
        <f>"Sample URI: "&amp;Controls!C42</f>
        <v>Sample URI: /edev/{id1}/cfg</v>
      </c>
      <c r="F41" t="str">
        <f>"Request Representation: "&amp;Controls!V42&amp;IF(Controls!$B42="MirrorUsagePoint"," (PUT), MirrorMeterReading (POST), MirrorMeterReadingList (POST)","")</f>
        <v>Request Representation: Configuration</v>
      </c>
      <c r="G41" t="str">
        <f>"Response Representation: "&amp;Controls!W42</f>
        <v>Response Representation: Configuration</v>
      </c>
      <c r="H41" t="str">
        <f>"Methods: "&amp;Controls!X42</f>
        <v>Methods: GET/HEAD: Mandatory, PUT: Mandatory, POST: Error, DELETE: Error</v>
      </c>
      <c r="I41" t="s">
        <v>170</v>
      </c>
    </row>
    <row r="42" spans="1:9">
      <c r="A42" t="str">
        <f>IF(Controls!Y43,Controls!R43&amp;" Section","")</f>
        <v/>
      </c>
      <c r="B42" t="str">
        <f>IF(Controls!Z43,Controls!S43&amp;" Function Set","")</f>
        <v/>
      </c>
      <c r="C42" t="str">
        <f>Controls!B43&amp;" Resource"</f>
        <v>PriceResponseCfgList Resource</v>
      </c>
      <c r="D42" t="str">
        <f>T(Controls!P43)</f>
        <v>Contains a List of price response configuration settings.</v>
      </c>
      <c r="E42" t="str">
        <f>"Sample URI: "&amp;Controls!C43</f>
        <v>Sample URI: /edev/{id1}/cfg/prcfg</v>
      </c>
      <c r="F42" t="str">
        <f>"Request Representation: "&amp;Controls!V43&amp;IF(Controls!$B43="MirrorUsagePoint"," (PUT), MirrorMeterReading (POST), MirrorMeterReadingList (POST)","")</f>
        <v>Request Representation: PriceResponseCfg</v>
      </c>
      <c r="G42" t="str">
        <f>"Response Representation: "&amp;Controls!W43</f>
        <v>Response Representation: PriceResponseCfgList</v>
      </c>
      <c r="H42" t="str">
        <f>"Methods: "&amp;Controls!X43</f>
        <v>Methods: GET/HEAD: Mandatory, PUT: Error, POST: Mandatory, DELETE: Error</v>
      </c>
      <c r="I42" t="s">
        <v>170</v>
      </c>
    </row>
    <row r="43" spans="1:9">
      <c r="A43" t="str">
        <f>IF(Controls!Y44,Controls!R44&amp;" Section","")</f>
        <v/>
      </c>
      <c r="B43" t="str">
        <f>IF(Controls!Z44,Controls!S44&amp;" Function Set","")</f>
        <v/>
      </c>
      <c r="C43" t="str">
        <f>Controls!B44&amp;" Resource"</f>
        <v>PriceResponseCfg Resource</v>
      </c>
      <c r="D43" t="str">
        <f>T(Controls!P44)</f>
        <v>Contains the price response configuration settings for this EndDevice associated with a RateComponent.</v>
      </c>
      <c r="E43" t="str">
        <f>"Sample URI: "&amp;Controls!C44</f>
        <v>Sample URI: /edev/{id1}/cfg/prcfg/{id2}</v>
      </c>
      <c r="F43" t="str">
        <f>"Request Representation: "&amp;Controls!V44&amp;IF(Controls!$B44="MirrorUsagePoint"," (PUT), MirrorMeterReading (POST), MirrorMeterReadingList (POST)","")</f>
        <v>Request Representation: PriceResponseCfg</v>
      </c>
      <c r="G43" t="str">
        <f>"Response Representation: "&amp;Controls!W44</f>
        <v>Response Representation: PriceResponseCfg</v>
      </c>
      <c r="H43" t="str">
        <f>"Methods: "&amp;Controls!X44</f>
        <v>Methods: GET/HEAD: Mandatory, PUT: Mandatory, POST: Error, DELETE: Mandatory</v>
      </c>
      <c r="I43" t="s">
        <v>170</v>
      </c>
    </row>
    <row r="44" spans="1:9">
      <c r="A44" t="str">
        <f>IF(Controls!Y45,Controls!R45&amp;" Section","")</f>
        <v/>
      </c>
      <c r="B44" t="str">
        <f>IF(Controls!Z45,Controls!S45&amp;" Function Set","")</f>
        <v>Software Download Function Set</v>
      </c>
      <c r="C44" t="str">
        <f>Controls!B45&amp;" Resource"</f>
        <v>FileList Resource</v>
      </c>
      <c r="D44" t="str">
        <f>T(Controls!P45)</f>
        <v>A list of files</v>
      </c>
      <c r="E44" t="str">
        <f>"Sample URI: "&amp;Controls!C45</f>
        <v>Sample URI: /file</v>
      </c>
      <c r="F44" t="str">
        <f>"Request Representation: "&amp;Controls!V45&amp;IF(Controls!$B45="MirrorUsagePoint"," (PUT), MirrorMeterReading (POST), MirrorMeterReadingList (POST)","")</f>
        <v>Request Representation: File</v>
      </c>
      <c r="G44" t="str">
        <f>"Response Representation: "&amp;Controls!W45</f>
        <v>Response Representation: FileList</v>
      </c>
      <c r="H44" t="str">
        <f>"Methods: "&amp;Controls!X45</f>
        <v>Methods: GET/HEAD: Mandatory, PUT: Error, POST: Discouraged, DELETE: Error</v>
      </c>
      <c r="I44" t="s">
        <v>170</v>
      </c>
    </row>
    <row r="45" spans="1:9">
      <c r="A45" t="str">
        <f>IF(Controls!Y46,Controls!R46&amp;" Section","")</f>
        <v/>
      </c>
      <c r="B45" t="str">
        <f>IF(Controls!Z46,Controls!S46&amp;" Function Set","")</f>
        <v/>
      </c>
      <c r="C45" t="str">
        <f>Controls!B46&amp;" Resource"</f>
        <v>File Resource</v>
      </c>
      <c r="D45" t="str">
        <f>T(Controls!P46)</f>
        <v>A specific file</v>
      </c>
      <c r="E45" t="str">
        <f>"Sample URI: "&amp;Controls!C46</f>
        <v>Sample URI: /file/{id1}</v>
      </c>
      <c r="F45" t="str">
        <f>"Request Representation: "&amp;Controls!V46&amp;IF(Controls!$B46="MirrorUsagePoint"," (PUT), MirrorMeterReading (POST), MirrorMeterReadingList (POST)","")</f>
        <v>Request Representation: File</v>
      </c>
      <c r="G45" t="str">
        <f>"Response Representation: "&amp;Controls!W46</f>
        <v>Response Representation: File</v>
      </c>
      <c r="H45" t="str">
        <f>"Methods: "&amp;Controls!X46</f>
        <v>Methods: GET/HEAD: Mandatory, PUT: Discouraged, POST: Error, DELETE: Discouraged</v>
      </c>
      <c r="I45" t="s">
        <v>170</v>
      </c>
    </row>
    <row r="46" spans="1:9">
      <c r="A46" t="str">
        <f>IF(Controls!Y47,Controls!R47&amp;" Section","")</f>
        <v/>
      </c>
      <c r="B46" t="str">
        <f>IF(Controls!Z47,Controls!S47&amp;" Function Set","")</f>
        <v/>
      </c>
      <c r="C46" t="str">
        <f>Controls!B47&amp;" Resource"</f>
        <v>FileStatus Resource</v>
      </c>
      <c r="D46" t="str">
        <f>T(Controls!P47)</f>
        <v>The file status of a particular file download for the associated EndDevice or SelfDevice.</v>
      </c>
      <c r="E46" t="str">
        <f>"Sample URI: "&amp;Controls!C47</f>
        <v>Sample URI: /edev/{id1}/fs</v>
      </c>
      <c r="F46" t="str">
        <f>"Request Representation: "&amp;Controls!V47&amp;IF(Controls!$B47="MirrorUsagePoint"," (PUT), MirrorMeterReading (POST), MirrorMeterReadingList (POST)","")</f>
        <v>Request Representation: FileStatus</v>
      </c>
      <c r="G46" t="str">
        <f>"Response Representation: "&amp;Controls!W47</f>
        <v>Response Representation: FileStatus</v>
      </c>
      <c r="H46" t="str">
        <f>"Methods: "&amp;Controls!X47</f>
        <v>Methods: GET/HEAD: Mandatory, PUT: Mandatory, POST: Error, DELETE: Error</v>
      </c>
      <c r="I46" t="s">
        <v>170</v>
      </c>
    </row>
    <row r="47" spans="1:9">
      <c r="A47" t="str">
        <f>IF(Controls!Y48,Controls!R48&amp;" Section","")</f>
        <v/>
      </c>
      <c r="B47" t="str">
        <f>IF(Controls!Z48,Controls!S48&amp;" Function Set","")</f>
        <v>Demand Response and Load Control Function Set</v>
      </c>
      <c r="C47" t="str">
        <f>Controls!B48&amp;" Resource"</f>
        <v>DemandResponseProgramList Resource</v>
      </c>
      <c r="D47" t="str">
        <f>T(Controls!P48)</f>
        <v>List of DemandResponseProgram instances. Devices implementing the DemandResponseProgramList resource MAY support multiple instances of DemandResponsePrograms.</v>
      </c>
      <c r="E47" t="str">
        <f>"Sample URI: "&amp;Controls!C48</f>
        <v>Sample URI: /dr</v>
      </c>
      <c r="F47" t="str">
        <f>"Request Representation: "&amp;Controls!V48&amp;IF(Controls!$B48="MirrorUsagePoint"," (PUT), MirrorMeterReading (POST), MirrorMeterReadingList (POST)","")</f>
        <v>Request Representation: DemandResponseProgram</v>
      </c>
      <c r="G47" t="str">
        <f>"Response Representation: "&amp;Controls!W48</f>
        <v>Response Representation: DemandResponseProgramList</v>
      </c>
      <c r="H47" t="str">
        <f>"Methods: "&amp;Controls!X48</f>
        <v>Methods: GET/HEAD: Mandatory, PUT: Error, POST: Discouraged, DELETE: Error</v>
      </c>
      <c r="I47" t="s">
        <v>170</v>
      </c>
    </row>
    <row r="48" spans="1:9">
      <c r="A48" t="str">
        <f>IF(Controls!Y49,Controls!R49&amp;" Section","")</f>
        <v/>
      </c>
      <c r="B48" t="str">
        <f>IF(Controls!Z49,Controls!S49&amp;" Function Set","")</f>
        <v/>
      </c>
      <c r="C48" t="str">
        <f>Controls!B49&amp;" Resource"</f>
        <v>DemandResponseProgram Resource</v>
      </c>
      <c r="D48" t="str">
        <f>T(Controls!P49)</f>
        <v xml:space="preserve">Specific DemandResponseProgram resource.  This resource can be thought of as a particular DemandResponseProgram endpoint.  </v>
      </c>
      <c r="E48" t="str">
        <f>"Sample URI: "&amp;Controls!C49</f>
        <v>Sample URI: /dr/{id1}</v>
      </c>
      <c r="F48" t="str">
        <f>"Request Representation: "&amp;Controls!V49&amp;IF(Controls!$B49="MirrorUsagePoint"," (PUT), MirrorMeterReading (POST), MirrorMeterReadingList (POST)","")</f>
        <v>Request Representation: DemandResponseProgram</v>
      </c>
      <c r="G48" t="str">
        <f>"Response Representation: "&amp;Controls!W49</f>
        <v>Response Representation: DemandResponseProgram</v>
      </c>
      <c r="H48" t="str">
        <f>"Methods: "&amp;Controls!X49</f>
        <v>Methods: GET/HEAD: Mandatory, PUT: Error, POST: Error, DELETE: Discouraged</v>
      </c>
      <c r="I48" t="s">
        <v>170</v>
      </c>
    </row>
    <row r="49" spans="1:9">
      <c r="A49" t="str">
        <f>IF(Controls!Y50,Controls!R50&amp;" Section","")</f>
        <v/>
      </c>
      <c r="B49" t="str">
        <f>IF(Controls!Z50,Controls!S50&amp;" Function Set","")</f>
        <v/>
      </c>
      <c r="C49" t="str">
        <f>Controls!B50&amp;" Resource"</f>
        <v>ActiveEndDeviceControlList Resource</v>
      </c>
      <c r="D49" t="str">
        <f>T(Controls!P50)</f>
        <v xml:space="preserve">List of EndDeviceControls that are currently active. </v>
      </c>
      <c r="E49" t="str">
        <f>"Sample URI: "&amp;Controls!C50</f>
        <v>Sample URI: /dr/{id1}/actedc</v>
      </c>
      <c r="F49" t="str">
        <f>"Request Representation: "&amp;Controls!V50&amp;IF(Controls!$B50="MirrorUsagePoint"," (PUT), MirrorMeterReading (POST), MirrorMeterReadingList (POST)","")</f>
        <v>Request Representation: EndDeviceControl</v>
      </c>
      <c r="G49" t="str">
        <f>"Response Representation: "&amp;Controls!W50</f>
        <v>Response Representation: EndDeviceControlList</v>
      </c>
      <c r="H49" t="str">
        <f>"Methods: "&amp;Controls!X50</f>
        <v>Methods: GET/HEAD: Mandatory, PUT: Error, POST: Error, DELETE: Error</v>
      </c>
      <c r="I49" t="s">
        <v>170</v>
      </c>
    </row>
    <row r="50" spans="1:9">
      <c r="A50" t="str">
        <f>IF(Controls!Y51,Controls!R51&amp;" Section","")</f>
        <v/>
      </c>
      <c r="B50" t="str">
        <f>IF(Controls!Z51,Controls!S51&amp;" Function Set","")</f>
        <v/>
      </c>
      <c r="C50" t="str">
        <f>Controls!B51&amp;" Resource"</f>
        <v>EndDeviceControlList Resource</v>
      </c>
      <c r="D50" t="str">
        <f>T(Controls!P51)</f>
        <v>List of EndDeviceControls.  Devices implementing the EndDeviceControlList resource MAY support multiple EndDeviceControls.</v>
      </c>
      <c r="E50" t="str">
        <f>"Sample URI: "&amp;Controls!C51</f>
        <v>Sample URI: /dr/{id1}/edc</v>
      </c>
      <c r="F50" t="str">
        <f>"Request Representation: "&amp;Controls!V51&amp;IF(Controls!$B51="MirrorUsagePoint"," (PUT), MirrorMeterReading (POST), MirrorMeterReadingList (POST)","")</f>
        <v>Request Representation: EndDeviceControl</v>
      </c>
      <c r="G50" t="str">
        <f>"Response Representation: "&amp;Controls!W51</f>
        <v>Response Representation: EndDeviceControlList</v>
      </c>
      <c r="H50" t="str">
        <f>"Methods: "&amp;Controls!X51</f>
        <v>Methods: GET/HEAD: Mandatory, PUT: Error, POST: Discouraged, DELETE: Error</v>
      </c>
      <c r="I50" t="s">
        <v>170</v>
      </c>
    </row>
    <row r="51" spans="1:9">
      <c r="A51" t="str">
        <f>IF(Controls!Y52,Controls!R52&amp;" Section","")</f>
        <v/>
      </c>
      <c r="B51" t="str">
        <f>IF(Controls!Z52,Controls!S52&amp;" Function Set","")</f>
        <v/>
      </c>
      <c r="C51" t="str">
        <f>Controls!B52&amp;" Resource"</f>
        <v>EndDeviceControl Resource</v>
      </c>
      <c r="D51" t="str">
        <f>T(Controls!P52)</f>
        <v>Specific EndDeviceControl resource.  This resource can be thought of as a particular Demand Response / Load Control event for a period of time.</v>
      </c>
      <c r="E51" t="str">
        <f>"Sample URI: "&amp;Controls!C52</f>
        <v>Sample URI: /dr/{id1}/edc/{id2}</v>
      </c>
      <c r="F51" t="str">
        <f>"Request Representation: "&amp;Controls!V52&amp;IF(Controls!$B52="MirrorUsagePoint"," (PUT), MirrorMeterReading (POST), MirrorMeterReadingList (POST)","")</f>
        <v>Request Representation: EndDeviceControl</v>
      </c>
      <c r="G51" t="str">
        <f>"Response Representation: "&amp;Controls!W52</f>
        <v>Response Representation: EndDeviceControl</v>
      </c>
      <c r="H51" t="str">
        <f>"Methods: "&amp;Controls!X52</f>
        <v>Methods: GET/HEAD: Mandatory, PUT: Error, POST: Error, DELETE: Discouraged</v>
      </c>
      <c r="I51" t="s">
        <v>170</v>
      </c>
    </row>
    <row r="52" spans="1:9">
      <c r="A52" t="str">
        <f>IF(Controls!Y53,Controls!R53&amp;" Section","")</f>
        <v/>
      </c>
      <c r="B52" t="str">
        <f>IF(Controls!Z53,Controls!S53&amp;" Function Set","")</f>
        <v/>
      </c>
      <c r="C52" t="str">
        <f>Controls!B53&amp;" Resource"</f>
        <v>LoadShedAvailabilityList Resource</v>
      </c>
      <c r="D52" t="str">
        <f>T(Controls!P53)</f>
        <v>A List of LoadShedAvailability instances.</v>
      </c>
      <c r="E52" t="str">
        <f>"Sample URI: "&amp;Controls!C53</f>
        <v>Sample URI: /edev/{id1}/lsl</v>
      </c>
      <c r="F52" t="str">
        <f>"Request Representation: "&amp;Controls!V53&amp;IF(Controls!$B53="MirrorUsagePoint"," (PUT), MirrorMeterReading (POST), MirrorMeterReadingList (POST)","")</f>
        <v>Request Representation: LoadShedAvailability</v>
      </c>
      <c r="G52" t="str">
        <f>"Response Representation: "&amp;Controls!W53</f>
        <v>Response Representation: LoadShedAvailabilityList</v>
      </c>
      <c r="H52" t="str">
        <f>"Methods: "&amp;Controls!X53</f>
        <v>Methods: GET/HEAD: Mandatory, PUT: Error, POST: Mandatory, DELETE: Error</v>
      </c>
      <c r="I52" t="s">
        <v>170</v>
      </c>
    </row>
    <row r="53" spans="1:9">
      <c r="A53" t="str">
        <f>IF(Controls!Y54,Controls!R54&amp;" Section","")</f>
        <v/>
      </c>
      <c r="B53" t="str">
        <f>IF(Controls!Z54,Controls!S54&amp;" Function Set","")</f>
        <v/>
      </c>
      <c r="C53" t="str">
        <f>Controls!B54&amp;" Resource"</f>
        <v>LoadShedAvailability Resource</v>
      </c>
      <c r="D53" t="str">
        <f>T(Controls!P54)</f>
        <v xml:space="preserve">A specific LoadShedAvailability entry from the LoadShedAvailabilityList. </v>
      </c>
      <c r="E53" t="str">
        <f>"Sample URI: "&amp;Controls!C54</f>
        <v>Sample URI: /edev/{id1}/lsl/{id2}</v>
      </c>
      <c r="F53" t="str">
        <f>"Request Representation: "&amp;Controls!V54&amp;IF(Controls!$B54="MirrorUsagePoint"," (PUT), MirrorMeterReading (POST), MirrorMeterReadingList (POST)","")</f>
        <v>Request Representation: LoadShedAvailability</v>
      </c>
      <c r="G53" t="str">
        <f>"Response Representation: "&amp;Controls!W54</f>
        <v>Response Representation: LoadShedAvailability</v>
      </c>
      <c r="H53" t="str">
        <f>"Methods: "&amp;Controls!X54</f>
        <v>Methods: GET/HEAD: Mandatory, PUT: Optional, POST: Error, DELETE: Mandatory</v>
      </c>
      <c r="I53" t="s">
        <v>170</v>
      </c>
    </row>
    <row r="54" spans="1:9">
      <c r="A54" t="str">
        <f>IF(Controls!Y55,Controls!R55&amp;" Section","")</f>
        <v/>
      </c>
      <c r="B54" t="str">
        <f>IF(Controls!Z55,Controls!S55&amp;" Function Set","")</f>
        <v>Metering Function Set</v>
      </c>
      <c r="C54" t="str">
        <f>Controls!B55&amp;" Resource"</f>
        <v>UsagePointList Resource</v>
      </c>
      <c r="D54" t="str">
        <f>T(Controls!P55)</f>
        <v xml:space="preserve">Usage point resource list. Devices implementing the UsagePointList resource MAY support multiple instances of usage points. </v>
      </c>
      <c r="E54" t="str">
        <f>"Sample URI: "&amp;Controls!C55</f>
        <v>Sample URI: /upt</v>
      </c>
      <c r="F54" t="str">
        <f>"Request Representation: "&amp;Controls!V55&amp;IF(Controls!$B55="MirrorUsagePoint"," (PUT), MirrorMeterReading (POST), MirrorMeterReadingList (POST)","")</f>
        <v>Request Representation: UsagePoint</v>
      </c>
      <c r="G54" t="str">
        <f>"Response Representation: "&amp;Controls!W55</f>
        <v>Response Representation: UsagePointList</v>
      </c>
      <c r="H54" t="str">
        <f>"Methods: "&amp;Controls!X55</f>
        <v>Methods: GET/HEAD: Mandatory, PUT: Error, POST: Optional, DELETE: Error</v>
      </c>
      <c r="I54" t="s">
        <v>170</v>
      </c>
    </row>
    <row r="55" spans="1:9">
      <c r="A55" t="str">
        <f>IF(Controls!Y56,Controls!R56&amp;" Section","")</f>
        <v/>
      </c>
      <c r="B55" t="str">
        <f>IF(Controls!Z56,Controls!S56&amp;" Function Set","")</f>
        <v/>
      </c>
      <c r="C55" t="str">
        <f>Controls!B56&amp;" Resource"</f>
        <v>UsagePoint Resource</v>
      </c>
      <c r="D55" t="str">
        <f>T(Controls!P56)</f>
        <v xml:space="preserve">Usage point instance including links to associated information. </v>
      </c>
      <c r="E55" t="str">
        <f>"Sample URI: "&amp;Controls!C56</f>
        <v>Sample URI: /upt/{id1}</v>
      </c>
      <c r="F55" t="str">
        <f>"Request Representation: "&amp;Controls!V56&amp;IF(Controls!$B56="MirrorUsagePoint"," (PUT), MirrorMeterReading (POST), MirrorMeterReadingList (POST)","")</f>
        <v>Request Representation: UsagePoint</v>
      </c>
      <c r="G55" t="str">
        <f>"Response Representation: "&amp;Controls!W56</f>
        <v>Response Representation: UsagePoint</v>
      </c>
      <c r="H55" t="str">
        <f>"Methods: "&amp;Controls!X56</f>
        <v>Methods: GET/HEAD: Mandatory, PUT: Error, POST: Error, DELETE: Optional</v>
      </c>
      <c r="I55" t="s">
        <v>170</v>
      </c>
    </row>
    <row r="56" spans="1:9">
      <c r="A56" t="str">
        <f>IF(Controls!Y57,Controls!R57&amp;" Section","")</f>
        <v/>
      </c>
      <c r="B56" t="str">
        <f>IF(Controls!Z57,Controls!S57&amp;" Function Set","")</f>
        <v/>
      </c>
      <c r="C56" t="str">
        <f>Controls!B57&amp;" Resource"</f>
        <v>MeterReadingList Resource</v>
      </c>
      <c r="D56" t="str">
        <f>T(Controls!P57)</f>
        <v xml:space="preserve">Meter Reading list including explicit URIs for each valid meter reading resource. </v>
      </c>
      <c r="E56" t="str">
        <f>"Sample URI: "&amp;Controls!C57</f>
        <v>Sample URI: /upt/{id1}/mr</v>
      </c>
      <c r="F56" t="str">
        <f>"Request Representation: "&amp;Controls!V57&amp;IF(Controls!$B57="MirrorUsagePoint"," (PUT), MirrorMeterReading (POST), MirrorMeterReadingList (POST)","")</f>
        <v>Request Representation: MeterReading</v>
      </c>
      <c r="G56" t="str">
        <f>"Response Representation: "&amp;Controls!W57</f>
        <v>Response Representation: MeterReadingList</v>
      </c>
      <c r="H56" t="str">
        <f>"Methods: "&amp;Controls!X57</f>
        <v>Methods: GET/HEAD: Mandatory, PUT: Error, POST: Optional, DELETE: Error</v>
      </c>
      <c r="I56" t="s">
        <v>170</v>
      </c>
    </row>
    <row r="57" spans="1:9">
      <c r="A57" t="str">
        <f>IF(Controls!Y58,Controls!R58&amp;" Section","")</f>
        <v/>
      </c>
      <c r="B57" t="str">
        <f>IF(Controls!Z58,Controls!S58&amp;" Function Set","")</f>
        <v/>
      </c>
      <c r="C57" t="str">
        <f>Controls!B58&amp;" Resource"</f>
        <v>MeterReading Resource</v>
      </c>
      <c r="D57" t="str">
        <f>T(Controls!P58)</f>
        <v>Meter Reading instance which contains ReadingSet and Reading resources</v>
      </c>
      <c r="E57" t="str">
        <f>"Sample URI: "&amp;Controls!C58</f>
        <v>Sample URI: /upt/{id1}/mr/{id2}</v>
      </c>
      <c r="F57" t="str">
        <f>"Request Representation: "&amp;Controls!V58&amp;IF(Controls!$B58="MirrorUsagePoint"," (PUT), MirrorMeterReading (POST), MirrorMeterReadingList (POST)","")</f>
        <v>Request Representation: MeterReading</v>
      </c>
      <c r="G57" t="str">
        <f>"Response Representation: "&amp;Controls!W58</f>
        <v>Response Representation: MeterReading</v>
      </c>
      <c r="H57" t="str">
        <f>"Methods: "&amp;Controls!X58</f>
        <v>Methods: GET/HEAD: Mandatory, PUT: Error, POST: Error, DELETE: Optional</v>
      </c>
      <c r="I57" t="s">
        <v>170</v>
      </c>
    </row>
    <row r="58" spans="1:9">
      <c r="A58" t="str">
        <f>IF(Controls!Y59,Controls!R59&amp;" Section","")</f>
        <v/>
      </c>
      <c r="B58" t="str">
        <f>IF(Controls!Z59,Controls!S59&amp;" Function Set","")</f>
        <v/>
      </c>
      <c r="C58" t="str">
        <f>Controls!B59&amp;" Resource"</f>
        <v>ReadingType Resource</v>
      </c>
      <c r="D58" t="str">
        <f>T(Controls!P59)</f>
        <v>Meter Reading type</v>
      </c>
      <c r="E58" t="str">
        <f>"Sample URI: "&amp;Controls!C59</f>
        <v>Sample URI: /upt/{id1}/mr/{id2}/rt</v>
      </c>
      <c r="F58" t="str">
        <f>"Request Representation: "&amp;Controls!V59&amp;IF(Controls!$B59="MirrorUsagePoint"," (PUT), MirrorMeterReading (POST), MirrorMeterReadingList (POST)","")</f>
        <v>Request Representation: ReadingType</v>
      </c>
      <c r="G58" t="str">
        <f>"Response Representation: "&amp;Controls!W59</f>
        <v>Response Representation: ReadingType</v>
      </c>
      <c r="H58" t="str">
        <f>"Methods: "&amp;Controls!X59</f>
        <v>Methods: GET/HEAD: Mandatory, PUT: Optional, POST: Error, DELETE: Error</v>
      </c>
      <c r="I58" t="s">
        <v>170</v>
      </c>
    </row>
    <row r="59" spans="1:9">
      <c r="A59" t="str">
        <f>IF(Controls!Y60,Controls!R60&amp;" Section","")</f>
        <v/>
      </c>
      <c r="B59" t="str">
        <f>IF(Controls!Z60,Controls!S60&amp;" Function Set","")</f>
        <v/>
      </c>
      <c r="C59" t="str">
        <f>Controls!B60&amp;" Resource"</f>
        <v>ReadingSetList Resource</v>
      </c>
      <c r="D59" t="str">
        <f>T(Controls!P60)</f>
        <v>Reading Set list</v>
      </c>
      <c r="E59" t="str">
        <f>"Sample URI: "&amp;Controls!C60</f>
        <v>Sample URI: /upt/{id1}/mr/{id2}/rs</v>
      </c>
      <c r="F59" t="str">
        <f>"Request Representation: "&amp;Controls!V60&amp;IF(Controls!$B60="MirrorUsagePoint"," (PUT), MirrorMeterReading (POST), MirrorMeterReadingList (POST)","")</f>
        <v>Request Representation: ReadingSet</v>
      </c>
      <c r="G59" t="str">
        <f>"Response Representation: "&amp;Controls!W60</f>
        <v>Response Representation: ReadingSetList</v>
      </c>
      <c r="H59" t="str">
        <f>"Methods: "&amp;Controls!X60</f>
        <v>Methods: GET/HEAD: Mandatory, PUT: Error, POST: Optional, DELETE: Error</v>
      </c>
      <c r="I59" t="s">
        <v>170</v>
      </c>
    </row>
    <row r="60" spans="1:9">
      <c r="A60" t="str">
        <f>IF(Controls!Y61,Controls!R61&amp;" Section","")</f>
        <v/>
      </c>
      <c r="B60" t="str">
        <f>IF(Controls!Z61,Controls!S61&amp;" Function Set","")</f>
        <v/>
      </c>
      <c r="C60" t="str">
        <f>Controls!B61&amp;" Resource"</f>
        <v>ReadingSet Resource</v>
      </c>
      <c r="D60" t="str">
        <f>T(Controls!P61)</f>
        <v>Reading Set instance which contains a list of Reading(s)</v>
      </c>
      <c r="E60" t="str">
        <f>"Sample URI: "&amp;Controls!C61</f>
        <v>Sample URI: /upt/{id1}/mr/{id2}/rs/{id3}</v>
      </c>
      <c r="F60" t="str">
        <f>"Request Representation: "&amp;Controls!V61&amp;IF(Controls!$B61="MirrorUsagePoint"," (PUT), MirrorMeterReading (POST), MirrorMeterReadingList (POST)","")</f>
        <v>Request Representation: ReadingSet</v>
      </c>
      <c r="G60" t="str">
        <f>"Response Representation: "&amp;Controls!W61</f>
        <v>Response Representation: ReadingSet</v>
      </c>
      <c r="H60" t="str">
        <f>"Methods: "&amp;Controls!X61</f>
        <v>Methods: GET/HEAD: Mandatory, PUT: Error, POST: Error, DELETE: Optional</v>
      </c>
      <c r="I60" t="s">
        <v>170</v>
      </c>
    </row>
    <row r="61" spans="1:9">
      <c r="A61" t="str">
        <f>IF(Controls!Y62,Controls!R62&amp;" Section","")</f>
        <v/>
      </c>
      <c r="B61" t="str">
        <f>IF(Controls!Z62,Controls!S62&amp;" Function Set","")</f>
        <v/>
      </c>
      <c r="C61" t="str">
        <f>Controls!B62&amp;" Resource"</f>
        <v>ReadingList Resource</v>
      </c>
      <c r="D61" t="str">
        <f>T(Controls!P62)</f>
        <v xml:space="preserve">Reading list of a particular meter reading set. </v>
      </c>
      <c r="E61" t="str">
        <f>"Sample URI: "&amp;Controls!C62</f>
        <v>Sample URI: /upt/{id1}/mr/{id2}/rs/{id3}/r</v>
      </c>
      <c r="F61" t="str">
        <f>"Request Representation: "&amp;Controls!V62&amp;IF(Controls!$B62="MirrorUsagePoint"," (PUT), MirrorMeterReading (POST), MirrorMeterReadingList (POST)","")</f>
        <v>Request Representation: Reading</v>
      </c>
      <c r="G61" t="str">
        <f>"Response Representation: "&amp;Controls!W62</f>
        <v>Response Representation: ReadingList</v>
      </c>
      <c r="H61" t="str">
        <f>"Methods: "&amp;Controls!X62</f>
        <v>Methods: GET/HEAD: Mandatory, PUT: Error, POST: Optional, DELETE: Error</v>
      </c>
      <c r="I61" t="s">
        <v>170</v>
      </c>
    </row>
    <row r="62" spans="1:9">
      <c r="A62" t="str">
        <f>IF(Controls!Y63,Controls!R63&amp;" Section","")</f>
        <v/>
      </c>
      <c r="B62" t="str">
        <f>IF(Controls!Z63,Controls!S63&amp;" Function Set","")</f>
        <v/>
      </c>
      <c r="C62" t="str">
        <f>Controls!B63&amp;" Resource"</f>
        <v>Reading Resource</v>
      </c>
      <c r="D62" t="str">
        <f>T(Controls!P63)</f>
        <v xml:space="preserve">Reading instance of a particular meter reading type. </v>
      </c>
      <c r="E62" t="str">
        <f>"Sample URI: "&amp;Controls!C63</f>
        <v>Sample URI: /upt/{id1}/mr/{id2}/rs/{id3}/r/{id4}</v>
      </c>
      <c r="F62" t="str">
        <f>"Request Representation: "&amp;Controls!V63&amp;IF(Controls!$B63="MirrorUsagePoint"," (PUT), MirrorMeterReading (POST), MirrorMeterReadingList (POST)","")</f>
        <v>Request Representation: Reading</v>
      </c>
      <c r="G62" t="str">
        <f>"Response Representation: "&amp;Controls!W63</f>
        <v>Response Representation: Reading</v>
      </c>
      <c r="H62" t="str">
        <f>"Methods: "&amp;Controls!X63</f>
        <v>Methods: GET/HEAD: Mandatory, PUT: Optional, POST: Error, DELETE: Optional</v>
      </c>
      <c r="I62" t="s">
        <v>170</v>
      </c>
    </row>
    <row r="63" spans="1:9">
      <c r="A63" t="str">
        <f>IF(Controls!Y64,Controls!R64&amp;" Section","")</f>
        <v/>
      </c>
      <c r="B63" t="str">
        <f>IF(Controls!Z64,Controls!S64&amp;" Function Set","")</f>
        <v/>
      </c>
      <c r="C63" t="str">
        <f>Controls!B64&amp;" Resource"</f>
        <v>MirrorUsagePointList Resource</v>
      </c>
      <c r="D63" t="str">
        <f>T(Controls!P64)</f>
        <v xml:space="preserve">Mirror Usage point (meter) resource list. Devices implementing the MirrorUsagePointList resource may support multiple instances of meter mirror asset. </v>
      </c>
      <c r="E63" t="str">
        <f>"Sample URI: "&amp;Controls!C64</f>
        <v>Sample URI: /mup</v>
      </c>
      <c r="F63" t="str">
        <f>"Request Representation: "&amp;Controls!V64&amp;IF(Controls!$B64="MirrorUsagePoint"," (PUT), MirrorMeterReading (POST), MirrorMeterReadingList (POST)","")</f>
        <v>Request Representation: MirrorUsagePoint</v>
      </c>
      <c r="G63" t="str">
        <f>"Response Representation: "&amp;Controls!W64</f>
        <v>Response Representation: MirrorUsagePointList</v>
      </c>
      <c r="H63" t="str">
        <f>"Methods: "&amp;Controls!X64</f>
        <v>Methods: GET/HEAD: Mandatory, PUT: Error, POST: Mandatory, DELETE: Error</v>
      </c>
      <c r="I63" t="s">
        <v>170</v>
      </c>
    </row>
    <row r="64" spans="1:9">
      <c r="A64" t="str">
        <f>IF(Controls!Y65,Controls!R65&amp;" Section","")</f>
        <v/>
      </c>
      <c r="B64" t="str">
        <f>IF(Controls!Z65,Controls!S65&amp;" Function Set","")</f>
        <v/>
      </c>
      <c r="C64" t="str">
        <f>Controls!B65&amp;" Resource"</f>
        <v>MirrorUsagePoint Resource</v>
      </c>
      <c r="D64" t="str">
        <f>T(Controls!P65)</f>
        <v>Mirror Usage point instance including resources it supports.</v>
      </c>
      <c r="E64" t="str">
        <f>"Sample URI: "&amp;Controls!C65</f>
        <v>Sample URI: /mup/{id1}</v>
      </c>
      <c r="F64" t="str">
        <f>"Request Representation: "&amp;Controls!V65&amp;IF(Controls!$B65="MirrorUsagePoint"," (PUT), MirrorMeterReading (POST), MirrorMeterReadingList (POST)","")</f>
        <v>Request Representation: MirrorUsagePoint (PUT), MirrorMeterReading (POST), MirrorMeterReadingList (POST)</v>
      </c>
      <c r="G64" t="str">
        <f>"Response Representation: "&amp;Controls!W65</f>
        <v>Response Representation: MirrorUsagePoint</v>
      </c>
      <c r="H64" t="str">
        <f>"Methods: "&amp;Controls!X65</f>
        <v>Methods: GET/HEAD: Optional, PUT: Mandatory, POST: Mandatory, DELETE: Mandatory</v>
      </c>
      <c r="I64" t="s">
        <v>170</v>
      </c>
    </row>
    <row r="65" spans="1:9">
      <c r="A65" t="str">
        <f>IF(Controls!Y66,Controls!R66&amp;" Section","")</f>
        <v/>
      </c>
      <c r="B65" t="str">
        <f>IF(Controls!Z66,Controls!S66&amp;" Function Set","")</f>
        <v>Pricing Function Set</v>
      </c>
      <c r="C65" t="str">
        <f>Controls!B66&amp;" Resource"</f>
        <v>TariffProfileList Resource</v>
      </c>
      <c r="D65" t="str">
        <f>T(Controls!P66)</f>
        <v>List of TariffProfile instances.</v>
      </c>
      <c r="E65" t="str">
        <f>"Sample URI: "&amp;Controls!C66</f>
        <v>Sample URI: /tp</v>
      </c>
      <c r="F65" t="str">
        <f>"Request Representation: "&amp;Controls!V66&amp;IF(Controls!$B66="MirrorUsagePoint"," (PUT), MirrorMeterReading (POST), MirrorMeterReadingList (POST)","")</f>
        <v>Request Representation: TariffProfile</v>
      </c>
      <c r="G65" t="str">
        <f>"Response Representation: "&amp;Controls!W66</f>
        <v>Response Representation: TariffProfileList</v>
      </c>
      <c r="H65" t="str">
        <f>"Methods: "&amp;Controls!X66</f>
        <v>Methods: GET/HEAD: Mandatory, PUT: Error, POST: Discouraged, DELETE: Error</v>
      </c>
      <c r="I65" t="s">
        <v>170</v>
      </c>
    </row>
    <row r="66" spans="1:9">
      <c r="A66" t="str">
        <f>IF(Controls!Y67,Controls!R67&amp;" Section","")</f>
        <v/>
      </c>
      <c r="B66" t="str">
        <f>IF(Controls!Z67,Controls!S67&amp;" Function Set","")</f>
        <v/>
      </c>
      <c r="C66" t="str">
        <f>Controls!B67&amp;" Resource"</f>
        <v>TariffProfile Resource</v>
      </c>
      <c r="D66" t="str">
        <f>T(Controls!P67)</f>
        <v xml:space="preserve">Specific TariffProfile instance.  Allows clients to obtain information about the rate code. </v>
      </c>
      <c r="E66" t="str">
        <f>"Sample URI: "&amp;Controls!C67</f>
        <v>Sample URI: /tp/{id1}</v>
      </c>
      <c r="F66" t="str">
        <f>"Request Representation: "&amp;Controls!V67&amp;IF(Controls!$B67="MirrorUsagePoint"," (PUT), MirrorMeterReading (POST), MirrorMeterReadingList (POST)","")</f>
        <v>Request Representation: TariffProfile</v>
      </c>
      <c r="G66" t="str">
        <f>"Response Representation: "&amp;Controls!W67</f>
        <v>Response Representation: TariffProfile</v>
      </c>
      <c r="H66" t="str">
        <f>"Methods: "&amp;Controls!X67</f>
        <v>Methods: GET/HEAD: Mandatory, PUT: Error, POST: Error, DELETE: Discouraged</v>
      </c>
      <c r="I66" t="s">
        <v>170</v>
      </c>
    </row>
    <row r="67" spans="1:9">
      <c r="A67" t="str">
        <f>IF(Controls!Y68,Controls!R68&amp;" Section","")</f>
        <v/>
      </c>
      <c r="B67" t="str">
        <f>IF(Controls!Z68,Controls!S68&amp;" Function Set","")</f>
        <v/>
      </c>
      <c r="C67" t="str">
        <f>Controls!B68&amp;" Resource"</f>
        <v>RateComponentList Resource</v>
      </c>
      <c r="D67" t="str">
        <f>T(Controls!P68)</f>
        <v>List of RateComponent instances.  This list  specifies a rate-specific container for the charges associated with a specific ReadingType, also referenced by the Metering function set.</v>
      </c>
      <c r="E67" t="str">
        <f>"Sample URI: "&amp;Controls!C68</f>
        <v>Sample URI: /tp/{id1}/rc</v>
      </c>
      <c r="F67" t="str">
        <f>"Request Representation: "&amp;Controls!V68&amp;IF(Controls!$B68="MirrorUsagePoint"," (PUT), MirrorMeterReading (POST), MirrorMeterReadingList (POST)","")</f>
        <v>Request Representation: RateComponent</v>
      </c>
      <c r="G67" t="str">
        <f>"Response Representation: "&amp;Controls!W68</f>
        <v>Response Representation: RateComponentList</v>
      </c>
      <c r="H67" t="str">
        <f>"Methods: "&amp;Controls!X68</f>
        <v>Methods: GET/HEAD: Mandatory, PUT: Error, POST: Discouraged, DELETE: Error</v>
      </c>
      <c r="I67" t="s">
        <v>170</v>
      </c>
    </row>
    <row r="68" spans="1:9">
      <c r="A68" t="str">
        <f>IF(Controls!Y69,Controls!R69&amp;" Section","")</f>
        <v/>
      </c>
      <c r="B68" t="str">
        <f>IF(Controls!Z69,Controls!S69&amp;" Function Set","")</f>
        <v/>
      </c>
      <c r="C68" t="str">
        <f>Controls!B69&amp;" Resource"</f>
        <v>RateComponent Resource</v>
      </c>
      <c r="D68" t="str">
        <f>T(Controls!P69)</f>
        <v>Specific RateComponent instance.  Includes link(s) to the list of TimeTariffIntervals that apply to referenced ReadingType for the RateComponent instance.</v>
      </c>
      <c r="E68" t="str">
        <f>"Sample URI: "&amp;Controls!C69</f>
        <v>Sample URI: /tp/{id1}/rc/{id2}</v>
      </c>
      <c r="F68" t="str">
        <f>"Request Representation: "&amp;Controls!V69&amp;IF(Controls!$B69="MirrorUsagePoint"," (PUT), MirrorMeterReading (POST), MirrorMeterReadingList (POST)","")</f>
        <v>Request Representation: RateComponent</v>
      </c>
      <c r="G68" t="str">
        <f>"Response Representation: "&amp;Controls!W69</f>
        <v>Response Representation: RateComponent</v>
      </c>
      <c r="H68" t="str">
        <f>"Methods: "&amp;Controls!X69</f>
        <v>Methods: GET/HEAD: Mandatory, PUT: Error, POST: Error, DELETE: Discouraged</v>
      </c>
      <c r="I68" t="s">
        <v>170</v>
      </c>
    </row>
    <row r="69" spans="1:9">
      <c r="A69" t="str">
        <f>IF(Controls!Y70,Controls!R70&amp;" Section","")</f>
        <v/>
      </c>
      <c r="B69" t="str">
        <f>IF(Controls!Z70,Controls!S70&amp;" Function Set","")</f>
        <v/>
      </c>
      <c r="C69" t="str">
        <f>Controls!B70&amp;" Resource"</f>
        <v>ActiveTimeTariffIntervalList Resource</v>
      </c>
      <c r="D69" t="str">
        <f>T(Controls!P70)</f>
        <v>The active TimeTariffInterval instance(s) for a particular TariffProfile.</v>
      </c>
      <c r="E69" t="str">
        <f>"Sample URI: "&amp;Controls!C70</f>
        <v>Sample URI: /tp/{id1}/rc/{id2}/acttti</v>
      </c>
      <c r="F69" t="str">
        <f>"Request Representation: "&amp;Controls!V70&amp;IF(Controls!$B70="MirrorUsagePoint"," (PUT), MirrorMeterReading (POST), MirrorMeterReadingList (POST)","")</f>
        <v>Request Representation: TimeTariffInterval</v>
      </c>
      <c r="G69" t="str">
        <f>"Response Representation: "&amp;Controls!W70</f>
        <v>Response Representation: TimeTariffIntervalList</v>
      </c>
      <c r="H69" t="str">
        <f>"Methods: "&amp;Controls!X70</f>
        <v>Methods: GET/HEAD: Mandatory, PUT: Error, POST: Error, DELETE: Error</v>
      </c>
      <c r="I69" t="s">
        <v>170</v>
      </c>
    </row>
    <row r="70" spans="1:9">
      <c r="A70" t="str">
        <f>IF(Controls!Y71,Controls!R71&amp;" Section","")</f>
        <v/>
      </c>
      <c r="B70" t="str">
        <f>IF(Controls!Z71,Controls!S71&amp;" Function Set","")</f>
        <v/>
      </c>
      <c r="C70" t="str">
        <f>Controls!B71&amp;" Resource"</f>
        <v>TimeTariffIntervalList Resource</v>
      </c>
      <c r="D70" t="str">
        <f>T(Controls!P71)</f>
        <v>Collection of TimeTariffInterval instances, including associated ConsumptionTariffInterval.</v>
      </c>
      <c r="E70" t="str">
        <f>"Sample URI: "&amp;Controls!C71</f>
        <v>Sample URI: /tp/{id1}/rc/{id2}/tti</v>
      </c>
      <c r="F70" t="str">
        <f>"Request Representation: "&amp;Controls!V71&amp;IF(Controls!$B71="MirrorUsagePoint"," (PUT), MirrorMeterReading (POST), MirrorMeterReadingList (POST)","")</f>
        <v>Request Representation: TimeTariffInterval</v>
      </c>
      <c r="G70" t="str">
        <f>"Response Representation: "&amp;Controls!W71</f>
        <v>Response Representation: TimeTariffIntervalList</v>
      </c>
      <c r="H70" t="str">
        <f>"Methods: "&amp;Controls!X71</f>
        <v>Methods: GET/HEAD: Mandatory, PUT: Error, POST: Discouraged, DELETE: Error</v>
      </c>
      <c r="I70" t="s">
        <v>170</v>
      </c>
    </row>
    <row r="71" spans="1:9">
      <c r="A71" t="str">
        <f>IF(Controls!Y72,Controls!R72&amp;" Section","")</f>
        <v/>
      </c>
      <c r="B71" t="str">
        <f>IF(Controls!Z72,Controls!S72&amp;" Function Set","")</f>
        <v/>
      </c>
      <c r="C71" t="str">
        <f>Controls!B72&amp;" Resource"</f>
        <v>TimeTariffInterval Resource</v>
      </c>
      <c r="D71" t="str">
        <f>T(Controls!P72)</f>
        <v>Specific TimeTariffInterval instance that represents a unique usage interval and associated charges for the premises.</v>
      </c>
      <c r="E71" t="str">
        <f>"Sample URI: "&amp;Controls!C72</f>
        <v>Sample URI: /tp/{id1}/rc/{id2}/tti/{id3}</v>
      </c>
      <c r="F71" t="str">
        <f>"Request Representation: "&amp;Controls!V72&amp;IF(Controls!$B72="MirrorUsagePoint"," (PUT), MirrorMeterReading (POST), MirrorMeterReadingList (POST)","")</f>
        <v>Request Representation: TimeTariffInterval</v>
      </c>
      <c r="G71" t="str">
        <f>"Response Representation: "&amp;Controls!W72</f>
        <v>Response Representation: TimeTariffInterval</v>
      </c>
      <c r="H71" t="str">
        <f>"Methods: "&amp;Controls!X72</f>
        <v>Methods: GET/HEAD: Mandatory, PUT: Error, POST: Error, DELETE: Discouraged</v>
      </c>
      <c r="I71" t="s">
        <v>170</v>
      </c>
    </row>
    <row r="72" spans="1:9">
      <c r="A72" t="str">
        <f>IF(Controls!Y73,Controls!R73&amp;" Section","")</f>
        <v/>
      </c>
      <c r="B72" t="str">
        <f>IF(Controls!Z73,Controls!S73&amp;" Function Set","")</f>
        <v/>
      </c>
      <c r="C72" t="str">
        <f>Controls!B73&amp;" Resource"</f>
        <v>ConsumptionTariffIntervalList Resource</v>
      </c>
      <c r="D72" t="str">
        <f>T(Controls!P73)</f>
        <v>List of ConsumptionTariffInterval instances.</v>
      </c>
      <c r="E72" t="str">
        <f>"Sample URI: "&amp;Controls!C73</f>
        <v>Sample URI: /tp/{id1}/rc/{id2}/tti/{id3}/cti</v>
      </c>
      <c r="F72" t="str">
        <f>"Request Representation: "&amp;Controls!V73&amp;IF(Controls!$B73="MirrorUsagePoint"," (PUT), MirrorMeterReading (POST), MirrorMeterReadingList (POST)","")</f>
        <v>Request Representation: ConsumptionTariffInterval</v>
      </c>
      <c r="G72" t="str">
        <f>"Response Representation: "&amp;Controls!W73</f>
        <v>Response Representation: ConsumptionTariffIntervalList</v>
      </c>
      <c r="H72" t="str">
        <f>"Methods: "&amp;Controls!X73</f>
        <v>Methods: GET/HEAD: Mandatory, PUT: Error, POST: Discouraged, DELETE: Error</v>
      </c>
      <c r="I72" t="s">
        <v>170</v>
      </c>
    </row>
    <row r="73" spans="1:9">
      <c r="A73" t="str">
        <f>IF(Controls!Y74,Controls!R74&amp;" Section","")</f>
        <v/>
      </c>
      <c r="B73" t="str">
        <f>IF(Controls!Z74,Controls!S74&amp;" Function Set","")</f>
        <v/>
      </c>
      <c r="C73" t="str">
        <f>Controls!B74&amp;" Resource"</f>
        <v>ConsumptionTariffInterval Resource</v>
      </c>
      <c r="D73" t="str">
        <f>T(Controls!P74)</f>
        <v>Specific ConsumptionTariffInterval instance.</v>
      </c>
      <c r="E73" t="str">
        <f>"Sample URI: "&amp;Controls!C74</f>
        <v>Sample URI: /tp/{id1}/rc/{id2}/tti/{id3}/cti/{id4}</v>
      </c>
      <c r="F73" t="str">
        <f>"Request Representation: "&amp;Controls!V74&amp;IF(Controls!$B74="MirrorUsagePoint"," (PUT), MirrorMeterReading (POST), MirrorMeterReadingList (POST)","")</f>
        <v>Request Representation: ConsumptionTariffInterval</v>
      </c>
      <c r="G73" t="str">
        <f>"Response Representation: "&amp;Controls!W74</f>
        <v>Response Representation: ConsumptionTariffInterval</v>
      </c>
      <c r="H73" t="str">
        <f>"Methods: "&amp;Controls!X74</f>
        <v>Methods: GET/HEAD: Mandatory, PUT: Error, POST: Error, DELETE: Discouraged</v>
      </c>
      <c r="I73" t="s">
        <v>170</v>
      </c>
    </row>
    <row r="74" spans="1:9">
      <c r="A74" t="str">
        <f>IF(Controls!Y75,Controls!R75&amp;" Section","")</f>
        <v/>
      </c>
      <c r="B74" t="str">
        <f>IF(Controls!Z75,Controls!S75&amp;" Function Set","")</f>
        <v>Messaging Function Set</v>
      </c>
      <c r="C74" t="str">
        <f>Controls!B75&amp;" Resource"</f>
        <v>MessagingProgramList Resource</v>
      </c>
      <c r="D74" t="str">
        <f>T(Controls!P75)</f>
        <v>List of MessagingProgram instances or channels. Devices implementing the /msg resource MAY support multiple instances of  MessagingProgram</v>
      </c>
      <c r="E74" t="str">
        <f>"Sample URI: "&amp;Controls!C75</f>
        <v>Sample URI: /msg</v>
      </c>
      <c r="F74" t="str">
        <f>"Request Representation: "&amp;Controls!V75&amp;IF(Controls!$B75="MirrorUsagePoint"," (PUT), MirrorMeterReading (POST), MirrorMeterReadingList (POST)","")</f>
        <v>Request Representation: MessagingProgram</v>
      </c>
      <c r="G74" t="str">
        <f>"Response Representation: "&amp;Controls!W75</f>
        <v>Response Representation: MessagingProgramList</v>
      </c>
      <c r="H74" t="str">
        <f>"Methods: "&amp;Controls!X75</f>
        <v>Methods: GET/HEAD: Mandatory, PUT: Error, POST: Discouraged, DELETE: Error</v>
      </c>
      <c r="I74" t="s">
        <v>170</v>
      </c>
    </row>
    <row r="75" spans="1:9">
      <c r="A75" t="str">
        <f>IF(Controls!Y76,Controls!R76&amp;" Section","")</f>
        <v/>
      </c>
      <c r="B75" t="str">
        <f>IF(Controls!Z76,Controls!S76&amp;" Function Set","")</f>
        <v/>
      </c>
      <c r="C75" t="str">
        <f>Controls!B76&amp;" Resource"</f>
        <v>MessagingProgram Resource</v>
      </c>
      <c r="D75" t="str">
        <f>T(Controls!P76)</f>
        <v>Specific MessagingProgram instance. This resource can be thought of as a particular  TextMessageList  or channel.</v>
      </c>
      <c r="E75" t="str">
        <f>"Sample URI: "&amp;Controls!C76</f>
        <v>Sample URI: /msg/{id1}</v>
      </c>
      <c r="F75" t="str">
        <f>"Request Representation: "&amp;Controls!V76&amp;IF(Controls!$B76="MirrorUsagePoint"," (PUT), MirrorMeterReading (POST), MirrorMeterReadingList (POST)","")</f>
        <v>Request Representation: MessagingProgram</v>
      </c>
      <c r="G75" t="str">
        <f>"Response Representation: "&amp;Controls!W76</f>
        <v>Response Representation: MessagingProgram</v>
      </c>
      <c r="H75" t="str">
        <f>"Methods: "&amp;Controls!X76</f>
        <v>Methods: GET/HEAD: Mandatory, PUT: Error, POST: Error, DELETE: Discouraged</v>
      </c>
      <c r="I75" t="s">
        <v>170</v>
      </c>
    </row>
    <row r="76" spans="1:9">
      <c r="A76" t="str">
        <f>IF(Controls!Y77,Controls!R77&amp;" Section","")</f>
        <v/>
      </c>
      <c r="B76" t="str">
        <f>IF(Controls!Z77,Controls!S77&amp;" Function Set","")</f>
        <v/>
      </c>
      <c r="C76" t="str">
        <f>Controls!B77&amp;" Resource"</f>
        <v>ActiveTextMessageList Resource</v>
      </c>
      <c r="D76" t="str">
        <f>T(Controls!P77)</f>
        <v>List of Messages that are currently active.</v>
      </c>
      <c r="E76" t="str">
        <f>"Sample URI: "&amp;Controls!C77</f>
        <v>Sample URI: /msg/{id1}/acttxt</v>
      </c>
      <c r="F76" t="str">
        <f>"Request Representation: "&amp;Controls!V77&amp;IF(Controls!$B77="MirrorUsagePoint"," (PUT), MirrorMeterReading (POST), MirrorMeterReadingList (POST)","")</f>
        <v>Request Representation: TextMessage</v>
      </c>
      <c r="G76" t="str">
        <f>"Response Representation: "&amp;Controls!W77</f>
        <v>Response Representation: TextMessageList</v>
      </c>
      <c r="H76" t="str">
        <f>"Methods: "&amp;Controls!X77</f>
        <v>Methods: GET/HEAD: Mandatory, PUT: Error, POST: Error, DELETE: Error</v>
      </c>
      <c r="I76" t="s">
        <v>170</v>
      </c>
    </row>
    <row r="77" spans="1:9">
      <c r="A77" t="str">
        <f>IF(Controls!Y78,Controls!R78&amp;" Section","")</f>
        <v/>
      </c>
      <c r="B77" t="str">
        <f>IF(Controls!Z78,Controls!S78&amp;" Function Set","")</f>
        <v/>
      </c>
      <c r="C77" t="str">
        <f>Controls!B78&amp;" Resource"</f>
        <v>TextMessageList Resource</v>
      </c>
      <c r="D77" t="str">
        <f>T(Controls!P78)</f>
        <v>A list of TextMessages.</v>
      </c>
      <c r="E77" t="str">
        <f>"Sample URI: "&amp;Controls!C78</f>
        <v>Sample URI: /msg/{id1}/txt</v>
      </c>
      <c r="F77" t="str">
        <f>"Request Representation: "&amp;Controls!V78&amp;IF(Controls!$B78="MirrorUsagePoint"," (PUT), MirrorMeterReading (POST), MirrorMeterReadingList (POST)","")</f>
        <v>Request Representation: TextMessage</v>
      </c>
      <c r="G77" t="str">
        <f>"Response Representation: "&amp;Controls!W78</f>
        <v>Response Representation: TextMessageList</v>
      </c>
      <c r="H77" t="str">
        <f>"Methods: "&amp;Controls!X78</f>
        <v>Methods: GET/HEAD: Mandatory, PUT: Error, POST: Discouraged, DELETE: Error</v>
      </c>
      <c r="I77" t="s">
        <v>170</v>
      </c>
    </row>
    <row r="78" spans="1:9">
      <c r="A78" t="str">
        <f>IF(Controls!Y79,Controls!R79&amp;" Section","")</f>
        <v/>
      </c>
      <c r="B78" t="str">
        <f>IF(Controls!Z79,Controls!S79&amp;" Function Set","")</f>
        <v/>
      </c>
      <c r="C78" t="str">
        <f>Controls!B79&amp;" Resource"</f>
        <v>TextMessage Resource</v>
      </c>
      <c r="D78" t="str">
        <f>T(Controls!P79)</f>
        <v>An individual TextMessage.</v>
      </c>
      <c r="E78" t="str">
        <f>"Sample URI: "&amp;Controls!C79</f>
        <v>Sample URI: /msg/{id1}/txt/{id2}</v>
      </c>
      <c r="F78" t="str">
        <f>"Request Representation: "&amp;Controls!V79&amp;IF(Controls!$B79="MirrorUsagePoint"," (PUT), MirrorMeterReading (POST), MirrorMeterReadingList (POST)","")</f>
        <v>Request Representation: TextMessage</v>
      </c>
      <c r="G78" t="str">
        <f>"Response Representation: "&amp;Controls!W79</f>
        <v>Response Representation: TextMessage</v>
      </c>
      <c r="H78" t="str">
        <f>"Methods: "&amp;Controls!X79</f>
        <v>Methods: GET/HEAD: Mandatory, PUT: Error, POST: Error, DELETE: Discouraged</v>
      </c>
      <c r="I78" t="s">
        <v>170</v>
      </c>
    </row>
    <row r="79" spans="1:9">
      <c r="A79" t="str">
        <f>IF(Controls!Y80,Controls!R80&amp;" Section","")</f>
        <v/>
      </c>
      <c r="B79" t="str">
        <f>IF(Controls!Z80,Controls!S80&amp;" Function Set","")</f>
        <v>Billing Function Set</v>
      </c>
      <c r="C79" t="str">
        <f>Controls!B80&amp;" Resource"</f>
        <v>CustomerAccountList Resource</v>
      </c>
      <c r="D79" t="str">
        <f>T(Controls!P80)</f>
        <v>A List of customer accounts</v>
      </c>
      <c r="E79" t="str">
        <f>"Sample URI: "&amp;Controls!C80</f>
        <v>Sample URI: /bill</v>
      </c>
      <c r="F79" t="str">
        <f>"Request Representation: "&amp;Controls!V80&amp;IF(Controls!$B80="MirrorUsagePoint"," (PUT), MirrorMeterReading (POST), MirrorMeterReadingList (POST)","")</f>
        <v>Request Representation: CustomerAccount</v>
      </c>
      <c r="G79" t="str">
        <f>"Response Representation: "&amp;Controls!W80</f>
        <v>Response Representation: CustomerAccountList</v>
      </c>
      <c r="H79" t="str">
        <f>"Methods: "&amp;Controls!X80</f>
        <v>Methods: GET/HEAD: Mandatory, PUT: Error, POST: Discouraged, DELETE: Error</v>
      </c>
      <c r="I79" t="s">
        <v>170</v>
      </c>
    </row>
    <row r="80" spans="1:9">
      <c r="A80" t="str">
        <f>IF(Controls!Y81,Controls!R81&amp;" Section","")</f>
        <v/>
      </c>
      <c r="B80" t="str">
        <f>IF(Controls!Z81,Controls!S81&amp;" Function Set","")</f>
        <v/>
      </c>
      <c r="C80" t="str">
        <f>Controls!B81&amp;" Resource"</f>
        <v>CustomerAccount Resource</v>
      </c>
      <c r="D80" t="str">
        <f>T(Controls!P81)</f>
        <v>Customer account information</v>
      </c>
      <c r="E80" t="str">
        <f>"Sample URI: "&amp;Controls!C81</f>
        <v>Sample URI: /bill/{id1}</v>
      </c>
      <c r="F80" t="str">
        <f>"Request Representation: "&amp;Controls!V81&amp;IF(Controls!$B81="MirrorUsagePoint"," (PUT), MirrorMeterReading (POST), MirrorMeterReadingList (POST)","")</f>
        <v>Request Representation: CustomerAccount</v>
      </c>
      <c r="G80" t="str">
        <f>"Response Representation: "&amp;Controls!W81</f>
        <v>Response Representation: CustomerAccount</v>
      </c>
      <c r="H80" t="str">
        <f>"Methods: "&amp;Controls!X81</f>
        <v>Methods: GET/HEAD: Mandatory, PUT: Error, POST: Error, DELETE: Discouraged</v>
      </c>
      <c r="I80" t="s">
        <v>170</v>
      </c>
    </row>
    <row r="81" spans="1:9">
      <c r="A81" t="str">
        <f>IF(Controls!Y82,Controls!R82&amp;" Section","")</f>
        <v/>
      </c>
      <c r="B81" t="str">
        <f>IF(Controls!Z82,Controls!S82&amp;" Function Set","")</f>
        <v/>
      </c>
      <c r="C81" t="str">
        <f>Controls!B82&amp;" Resource"</f>
        <v>CustomerAgreementList Resource</v>
      </c>
      <c r="D81" t="str">
        <f>T(Controls!P82)</f>
        <v>A list of customer agreements</v>
      </c>
      <c r="E81" t="str">
        <f>"Sample URI: "&amp;Controls!C82</f>
        <v>Sample URI: /bill/{id1}/ca</v>
      </c>
      <c r="F81" t="str">
        <f>"Request Representation: "&amp;Controls!V82&amp;IF(Controls!$B82="MirrorUsagePoint"," (PUT), MirrorMeterReading (POST), MirrorMeterReadingList (POST)","")</f>
        <v>Request Representation: CustomerAgreement</v>
      </c>
      <c r="G81" t="str">
        <f>"Response Representation: "&amp;Controls!W82</f>
        <v>Response Representation: CustomerAgreementList</v>
      </c>
      <c r="H81" t="str">
        <f>"Methods: "&amp;Controls!X82</f>
        <v>Methods: GET/HEAD: Mandatory, PUT: Error, POST: Discouraged, DELETE: Error</v>
      </c>
      <c r="I81" t="s">
        <v>170</v>
      </c>
    </row>
    <row r="82" spans="1:9">
      <c r="A82" t="str">
        <f>IF(Controls!Y83,Controls!R83&amp;" Section","")</f>
        <v/>
      </c>
      <c r="B82" t="str">
        <f>IF(Controls!Z83,Controls!S83&amp;" Function Set","")</f>
        <v/>
      </c>
      <c r="C82" t="str">
        <f>Controls!B83&amp;" Resource"</f>
        <v>CustomerAgreement Resource</v>
      </c>
      <c r="D82" t="str">
        <f>T(Controls!P83)</f>
        <v>A customer agreement</v>
      </c>
      <c r="E82" t="str">
        <f>"Sample URI: "&amp;Controls!C83</f>
        <v>Sample URI: /bill/{id1}/ca/{id2}</v>
      </c>
      <c r="F82" t="str">
        <f>"Request Representation: "&amp;Controls!V83&amp;IF(Controls!$B83="MirrorUsagePoint"," (PUT), MirrorMeterReading (POST), MirrorMeterReadingList (POST)","")</f>
        <v>Request Representation: CustomerAgreement</v>
      </c>
      <c r="G82" t="str">
        <f>"Response Representation: "&amp;Controls!W83</f>
        <v>Response Representation: CustomerAgreement</v>
      </c>
      <c r="H82" t="str">
        <f>"Methods: "&amp;Controls!X83</f>
        <v>Methods: GET/HEAD: Mandatory, PUT: Error, POST: Error, DELETE: Discouraged</v>
      </c>
      <c r="I82" t="s">
        <v>170</v>
      </c>
    </row>
    <row r="83" spans="1:9">
      <c r="A83" t="str">
        <f>IF(Controls!Y84,Controls!R84&amp;" Section","")</f>
        <v/>
      </c>
      <c r="B83" t="str">
        <f>IF(Controls!Z84,Controls!S84&amp;" Function Set","")</f>
        <v/>
      </c>
      <c r="C83" t="str">
        <f>Controls!B84&amp;" Resource"</f>
        <v>ActiveBillingPeriodList Resource</v>
      </c>
      <c r="D83" t="str">
        <f>T(Controls!P84)</f>
        <v>A list of active billing periods.</v>
      </c>
      <c r="E83" t="str">
        <f>"Sample URI: "&amp;Controls!C84</f>
        <v>Sample URI: /bill/{id1}/ca/{id2}/actbp</v>
      </c>
      <c r="F83" t="str">
        <f>"Request Representation: "&amp;Controls!V84&amp;IF(Controls!$B84="MirrorUsagePoint"," (PUT), MirrorMeterReading (POST), MirrorMeterReadingList (POST)","")</f>
        <v>Request Representation: BillingPeriod</v>
      </c>
      <c r="G83" t="str">
        <f>"Response Representation: "&amp;Controls!W84</f>
        <v>Response Representation: BillingPeriodList</v>
      </c>
      <c r="H83" t="str">
        <f>"Methods: "&amp;Controls!X84</f>
        <v>Methods: GET/HEAD: Mandatory, PUT: Error, POST: Error, DELETE: Error</v>
      </c>
      <c r="I83" t="s">
        <v>170</v>
      </c>
    </row>
    <row r="84" spans="1:9">
      <c r="A84" t="str">
        <f>IF(Controls!Y85,Controls!R85&amp;" Section","")</f>
        <v/>
      </c>
      <c r="B84" t="str">
        <f>IF(Controls!Z85,Controls!S85&amp;" Function Set","")</f>
        <v/>
      </c>
      <c r="C84" t="str">
        <f>Controls!B85&amp;" Resource"</f>
        <v>BillingPeriodList Resource</v>
      </c>
      <c r="D84" t="str">
        <f>T(Controls!P85)</f>
        <v>List of BillingPeriods</v>
      </c>
      <c r="E84" t="str">
        <f>"Sample URI: "&amp;Controls!C85</f>
        <v>Sample URI: /bill/{id1}/ca/{id2}/bp</v>
      </c>
      <c r="F84" t="str">
        <f>"Request Representation: "&amp;Controls!V85&amp;IF(Controls!$B85="MirrorUsagePoint"," (PUT), MirrorMeterReading (POST), MirrorMeterReadingList (POST)","")</f>
        <v>Request Representation: BillingPeriod</v>
      </c>
      <c r="G84" t="str">
        <f>"Response Representation: "&amp;Controls!W85</f>
        <v>Response Representation: BillingPeriodList</v>
      </c>
      <c r="H84" t="str">
        <f>"Methods: "&amp;Controls!X85</f>
        <v>Methods: GET/HEAD: Mandatory, PUT: Error, POST: Discouraged, DELETE: Error</v>
      </c>
      <c r="I84" t="s">
        <v>170</v>
      </c>
    </row>
    <row r="85" spans="1:9">
      <c r="A85" t="str">
        <f>IF(Controls!Y86,Controls!R86&amp;" Section","")</f>
        <v/>
      </c>
      <c r="B85" t="str">
        <f>IF(Controls!Z86,Controls!S86&amp;" Function Set","")</f>
        <v/>
      </c>
      <c r="C85" t="str">
        <f>Controls!B86&amp;" Resource"</f>
        <v>BillingPeriod Resource</v>
      </c>
      <c r="D85" t="str">
        <f>T(Controls!P86)</f>
        <v>Specific Billing Period information</v>
      </c>
      <c r="E85" t="str">
        <f>"Sample URI: "&amp;Controls!C86</f>
        <v>Sample URI: /bill/{id1}/ca/{id2}/bp/{id3}</v>
      </c>
      <c r="F85" t="str">
        <f>"Request Representation: "&amp;Controls!V86&amp;IF(Controls!$B86="MirrorUsagePoint"," (PUT), MirrorMeterReading (POST), MirrorMeterReadingList (POST)","")</f>
        <v>Request Representation: BillingPeriod</v>
      </c>
      <c r="G85" t="str">
        <f>"Response Representation: "&amp;Controls!W86</f>
        <v>Response Representation: BillingPeriod</v>
      </c>
      <c r="H85" t="str">
        <f>"Methods: "&amp;Controls!X86</f>
        <v>Methods: GET/HEAD: Mandatory, PUT: Discouraged, POST: Error, DELETE: Discouraged</v>
      </c>
      <c r="I85" t="s">
        <v>170</v>
      </c>
    </row>
    <row r="86" spans="1:9">
      <c r="A86" t="str">
        <f>IF(Controls!Y87,Controls!R87&amp;" Section","")</f>
        <v/>
      </c>
      <c r="B86" t="str">
        <f>IF(Controls!Z87,Controls!S87&amp;" Function Set","")</f>
        <v/>
      </c>
      <c r="C86" t="str">
        <f>Controls!B87&amp;" Resource"</f>
        <v>ProjectionReadingList Resource</v>
      </c>
      <c r="D86" t="str">
        <f>T(Controls!P87)</f>
        <v>A list of reading projections.</v>
      </c>
      <c r="E86" t="str">
        <f>"Sample URI: "&amp;Controls!C87</f>
        <v>Sample URI: /bill/{id1}/ca/{id2}/pro</v>
      </c>
      <c r="F86" t="str">
        <f>"Request Representation: "&amp;Controls!V87&amp;IF(Controls!$B87="MirrorUsagePoint"," (PUT), MirrorMeterReading (POST), MirrorMeterReadingList (POST)","")</f>
        <v>Request Representation: ProjectionReading</v>
      </c>
      <c r="G86" t="str">
        <f>"Response Representation: "&amp;Controls!W87</f>
        <v>Response Representation: ProjectionReadingList</v>
      </c>
      <c r="H86" t="str">
        <f>"Methods: "&amp;Controls!X87</f>
        <v>Methods: GET/HEAD: Mandatory, PUT: Error, POST: Discouraged, DELETE: Error</v>
      </c>
      <c r="I86" t="s">
        <v>170</v>
      </c>
    </row>
    <row r="87" spans="1:9">
      <c r="A87" t="str">
        <f>IF(Controls!Y88,Controls!R88&amp;" Section","")</f>
        <v/>
      </c>
      <c r="B87" t="str">
        <f>IF(Controls!Z88,Controls!S88&amp;" Function Set","")</f>
        <v/>
      </c>
      <c r="C87" t="str">
        <f>Controls!B88&amp;" Resource"</f>
        <v>ProjectionReading Resource</v>
      </c>
      <c r="D87" t="str">
        <f>T(Controls!P88)</f>
        <v>A specific projection reading channel</v>
      </c>
      <c r="E87" t="str">
        <f>"Sample URI: "&amp;Controls!C88</f>
        <v>Sample URI: /bill/{id1}/ca/{id2}/pro/{id3}</v>
      </c>
      <c r="F87" t="str">
        <f>"Request Representation: "&amp;Controls!V88&amp;IF(Controls!$B88="MirrorUsagePoint"," (PUT), MirrorMeterReading (POST), MirrorMeterReadingList (POST)","")</f>
        <v>Request Representation: ProjectionReading</v>
      </c>
      <c r="G87" t="str">
        <f>"Response Representation: "&amp;Controls!W88</f>
        <v>Response Representation: ProjectionReading</v>
      </c>
      <c r="H87" t="str">
        <f>"Methods: "&amp;Controls!X88</f>
        <v>Methods: GET/HEAD: Mandatory, PUT: Discouraged, POST: Error, DELETE: Discouraged</v>
      </c>
      <c r="I87" t="s">
        <v>170</v>
      </c>
    </row>
    <row r="88" spans="1:9">
      <c r="A88" t="str">
        <f>IF(Controls!Y89,Controls!R89&amp;" Section","")</f>
        <v/>
      </c>
      <c r="B88" t="str">
        <f>IF(Controls!Z89,Controls!S89&amp;" Function Set","")</f>
        <v/>
      </c>
      <c r="C88" t="str">
        <f>Controls!B89&amp;" Resource"</f>
        <v>BillingReadingSetList Resource</v>
      </c>
      <c r="D88" t="str">
        <f>T(Controls!P89)</f>
        <v>A list of billing reading sets</v>
      </c>
      <c r="E88" t="str">
        <f>"Sample URI: "&amp;Controls!C89</f>
        <v>Sample URI: /brs</v>
      </c>
      <c r="F88" t="str">
        <f>"Request Representation: "&amp;Controls!V89&amp;IF(Controls!$B89="MirrorUsagePoint"," (PUT), MirrorMeterReading (POST), MirrorMeterReadingList (POST)","")</f>
        <v>Request Representation: BillingReadingSet</v>
      </c>
      <c r="G88" t="str">
        <f>"Response Representation: "&amp;Controls!W89</f>
        <v>Response Representation: BillingReadingSetList</v>
      </c>
      <c r="H88" t="str">
        <f>"Methods: "&amp;Controls!X89</f>
        <v>Methods: GET/HEAD: Mandatory, PUT: Error, POST: Discouraged, DELETE: Error</v>
      </c>
      <c r="I88" t="s">
        <v>170</v>
      </c>
    </row>
    <row r="89" spans="1:9">
      <c r="A89" t="str">
        <f>IF(Controls!Y90,Controls!R90&amp;" Section","")</f>
        <v/>
      </c>
      <c r="B89" t="str">
        <f>IF(Controls!Z90,Controls!S90&amp;" Function Set","")</f>
        <v/>
      </c>
      <c r="C89" t="str">
        <f>Controls!B90&amp;" Resource"</f>
        <v>BillingReadingSet Resource</v>
      </c>
      <c r="D89" t="str">
        <f>T(Controls!P90)</f>
        <v>A specific billing reading set</v>
      </c>
      <c r="E89" t="str">
        <f>"Sample URI: "&amp;Controls!C90</f>
        <v>Sample URI: /brs/{id1}</v>
      </c>
      <c r="F89" t="str">
        <f>"Request Representation: "&amp;Controls!V90&amp;IF(Controls!$B90="MirrorUsagePoint"," (PUT), MirrorMeterReading (POST), MirrorMeterReadingList (POST)","")</f>
        <v>Request Representation: BillingReadingSet</v>
      </c>
      <c r="G89" t="str">
        <f>"Response Representation: "&amp;Controls!W90</f>
        <v>Response Representation: BillingReadingSet</v>
      </c>
      <c r="H89" t="str">
        <f>"Methods: "&amp;Controls!X90</f>
        <v>Methods: GET/HEAD: Mandatory, PUT: Error, POST: Error, DELETE: Discouraged</v>
      </c>
      <c r="I89" t="s">
        <v>170</v>
      </c>
    </row>
    <row r="90" spans="1:9">
      <c r="A90" t="str">
        <f>IF(Controls!Y91,Controls!R91&amp;" Section","")</f>
        <v/>
      </c>
      <c r="B90" t="str">
        <f>IF(Controls!Z91,Controls!S91&amp;" Function Set","")</f>
        <v/>
      </c>
      <c r="C90" t="str">
        <f>Controls!B91&amp;" Resource"</f>
        <v>BillingReadingList Resource</v>
      </c>
      <c r="D90" t="str">
        <f>T(Controls!P91)</f>
        <v>A list of billing readings</v>
      </c>
      <c r="E90" t="str">
        <f>"Sample URI: "&amp;Controls!C91</f>
        <v>Sample URI: /brs/{id1}/br</v>
      </c>
      <c r="F90" t="str">
        <f>"Request Representation: "&amp;Controls!V91&amp;IF(Controls!$B91="MirrorUsagePoint"," (PUT), MirrorMeterReading (POST), MirrorMeterReadingList (POST)","")</f>
        <v>Request Representation: BillingReading</v>
      </c>
      <c r="G90" t="str">
        <f>"Response Representation: "&amp;Controls!W91</f>
        <v>Response Representation: BillingReadingList</v>
      </c>
      <c r="H90" t="str">
        <f>"Methods: "&amp;Controls!X91</f>
        <v>Methods: GET/HEAD: Mandatory, PUT: Error, POST: Discouraged, DELETE: Error</v>
      </c>
      <c r="I90" t="s">
        <v>170</v>
      </c>
    </row>
    <row r="91" spans="1:9">
      <c r="A91" t="str">
        <f>IF(Controls!Y92,Controls!R92&amp;" Section","")</f>
        <v/>
      </c>
      <c r="B91" t="str">
        <f>IF(Controls!Z92,Controls!S92&amp;" Function Set","")</f>
        <v/>
      </c>
      <c r="C91" t="str">
        <f>Controls!B92&amp;" Resource"</f>
        <v>BillingReading Resource</v>
      </c>
      <c r="D91" t="str">
        <f>T(Controls!P92)</f>
        <v>A specific billing reading</v>
      </c>
      <c r="E91" t="str">
        <f>"Sample URI: "&amp;Controls!C92</f>
        <v>Sample URI: /brs/{id1}/br/{id2}</v>
      </c>
      <c r="F91" t="str">
        <f>"Request Representation: "&amp;Controls!V92&amp;IF(Controls!$B92="MirrorUsagePoint"," (PUT), MirrorMeterReading (POST), MirrorMeterReadingList (POST)","")</f>
        <v>Request Representation: BillingReading</v>
      </c>
      <c r="G91" t="str">
        <f>"Response Representation: "&amp;Controls!W92</f>
        <v>Response Representation: BillingReading</v>
      </c>
      <c r="H91" t="str">
        <f>"Methods: "&amp;Controls!X92</f>
        <v>Methods: GET/HEAD: Mandatory, PUT: Discouraged, POST: Error, DELETE: Discouraged</v>
      </c>
      <c r="I91" t="s">
        <v>170</v>
      </c>
    </row>
    <row r="92" spans="1:9">
      <c r="A92" t="str">
        <f>IF(Controls!Y93,Controls!R93&amp;" Section","")</f>
        <v/>
      </c>
      <c r="B92" t="str">
        <f>IF(Controls!Z93,Controls!S93&amp;" Function Set","")</f>
        <v/>
      </c>
      <c r="C92" t="str">
        <f>Controls!B93&amp;" Resource"</f>
        <v>TargetReadingList Resource</v>
      </c>
      <c r="D92" t="str">
        <f>T(Controls!P93)</f>
        <v>A list of billing targets.</v>
      </c>
      <c r="E92" t="str">
        <f>"Sample URI: "&amp;Controls!C93</f>
        <v>Sample URI: /bill/{id1}/ca/{id2}/tar</v>
      </c>
      <c r="F92" t="str">
        <f>"Request Representation: "&amp;Controls!V93&amp;IF(Controls!$B93="MirrorUsagePoint"," (PUT), MirrorMeterReading (POST), MirrorMeterReadingList (POST)","")</f>
        <v>Request Representation: TargetReading</v>
      </c>
      <c r="G92" t="str">
        <f>"Response Representation: "&amp;Controls!W93</f>
        <v>Response Representation: TargetReadingList</v>
      </c>
      <c r="H92" t="str">
        <f>"Methods: "&amp;Controls!X93</f>
        <v>Methods: GET/HEAD: Mandatory, PUT: Error, POST: Discouraged, DELETE: Error</v>
      </c>
      <c r="I92" t="s">
        <v>170</v>
      </c>
    </row>
    <row r="93" spans="1:9">
      <c r="A93" t="str">
        <f>IF(Controls!Y94,Controls!R94&amp;" Section","")</f>
        <v/>
      </c>
      <c r="B93" t="str">
        <f>IF(Controls!Z94,Controls!S94&amp;" Function Set","")</f>
        <v/>
      </c>
      <c r="C93" t="str">
        <f>Controls!B94&amp;" Resource"</f>
        <v>TargetReading Resource</v>
      </c>
      <c r="D93" t="str">
        <f>T(Controls!P94)</f>
        <v>A specific target reading channel</v>
      </c>
      <c r="E93" t="str">
        <f>"Sample URI: "&amp;Controls!C94</f>
        <v>Sample URI: /bill/{id1}/ca/{id2}/tar/{id3}</v>
      </c>
      <c r="F93" t="str">
        <f>"Request Representation: "&amp;Controls!V94&amp;IF(Controls!$B94="MirrorUsagePoint"," (PUT), MirrorMeterReading (POST), MirrorMeterReadingList (POST)","")</f>
        <v>Request Representation: TargetReading</v>
      </c>
      <c r="G93" t="str">
        <f>"Response Representation: "&amp;Controls!W94</f>
        <v>Response Representation: TargetReading</v>
      </c>
      <c r="H93" t="str">
        <f>"Methods: "&amp;Controls!X94</f>
        <v>Methods: GET/HEAD: Mandatory, PUT: Error, POST: Error, DELETE: Discouraged</v>
      </c>
      <c r="I93" t="s">
        <v>170</v>
      </c>
    </row>
    <row r="94" spans="1:9">
      <c r="A94" t="str">
        <f>IF(Controls!Y95,Controls!R95&amp;" Section","")</f>
        <v/>
      </c>
      <c r="B94" t="str">
        <f>IF(Controls!Z95,Controls!S95&amp;" Function Set","")</f>
        <v/>
      </c>
      <c r="C94" t="str">
        <f>Controls!B95&amp;" Resource"</f>
        <v>HistoricalReadingList Resource</v>
      </c>
      <c r="D94" t="str">
        <f>T(Controls!P95)</f>
        <v>A list of verified historical readings.</v>
      </c>
      <c r="E94" t="str">
        <f>"Sample URI: "&amp;Controls!C95</f>
        <v>Sample URI: /bill/{id1}/ca/{id2}/ver</v>
      </c>
      <c r="F94" t="str">
        <f>"Request Representation: "&amp;Controls!V95&amp;IF(Controls!$B95="MirrorUsagePoint"," (PUT), MirrorMeterReading (POST), MirrorMeterReadingList (POST)","")</f>
        <v>Request Representation: HistoricalReading</v>
      </c>
      <c r="G94" t="str">
        <f>"Response Representation: "&amp;Controls!W95</f>
        <v>Response Representation: HistoricalReadingList</v>
      </c>
      <c r="H94" t="str">
        <f>"Methods: "&amp;Controls!X95</f>
        <v>Methods: GET/HEAD: Mandatory, PUT: Error, POST: Discouraged, DELETE: Error</v>
      </c>
      <c r="I94" t="s">
        <v>170</v>
      </c>
    </row>
    <row r="95" spans="1:9">
      <c r="A95" t="str">
        <f>IF(Controls!Y96,Controls!R96&amp;" Section","")</f>
        <v/>
      </c>
      <c r="B95" t="str">
        <f>IF(Controls!Z96,Controls!S96&amp;" Function Set","")</f>
        <v/>
      </c>
      <c r="C95" t="str">
        <f>Controls!B96&amp;" Resource"</f>
        <v>HistoricalReading Resource</v>
      </c>
      <c r="D95" t="str">
        <f>T(Controls!P96)</f>
        <v>A specific historical reading channel</v>
      </c>
      <c r="E95" t="str">
        <f>"Sample URI: "&amp;Controls!C96</f>
        <v>Sample URI: /bill/{id1}/ca/{id2}/ver/{id3}</v>
      </c>
      <c r="F95" t="str">
        <f>"Request Representation: "&amp;Controls!V96&amp;IF(Controls!$B96="MirrorUsagePoint"," (PUT), MirrorMeterReading (POST), MirrorMeterReadingList (POST)","")</f>
        <v>Request Representation: HistoricalReading</v>
      </c>
      <c r="G95" t="str">
        <f>"Response Representation: "&amp;Controls!W96</f>
        <v>Response Representation: HistoricalReading</v>
      </c>
      <c r="H95" t="str">
        <f>"Methods: "&amp;Controls!X96</f>
        <v>Methods: GET/HEAD: Mandatory, PUT: Error, POST: Error, DELETE: Discouraged</v>
      </c>
      <c r="I95" t="s">
        <v>170</v>
      </c>
    </row>
    <row r="96" spans="1:9">
      <c r="A96" t="str">
        <f>IF(Controls!Y97,Controls!R97&amp;" Section","")</f>
        <v/>
      </c>
      <c r="B96" t="str">
        <f>IF(Controls!Z97,Controls!S97&amp;" Function Set","")</f>
        <v/>
      </c>
      <c r="C96" t="str">
        <f>Controls!B97&amp;" Resource"</f>
        <v>ServiceSupplier Resource</v>
      </c>
      <c r="D96" t="str">
        <f>T(Controls!P97)</f>
        <v>A specific service supplier</v>
      </c>
      <c r="E96" t="str">
        <f>"Sample URI: "&amp;Controls!C97</f>
        <v>Sample URI: /bill/{id1}/ss</v>
      </c>
      <c r="F96" t="str">
        <f>"Request Representation: "&amp;Controls!V97&amp;IF(Controls!$B97="MirrorUsagePoint"," (PUT), MirrorMeterReading (POST), MirrorMeterReadingList (POST)","")</f>
        <v>Request Representation: ServiceSupplier</v>
      </c>
      <c r="G96" t="str">
        <f>"Response Representation: "&amp;Controls!W97</f>
        <v>Response Representation: ServiceSupplier</v>
      </c>
      <c r="H96" t="str">
        <f>"Methods: "&amp;Controls!X97</f>
        <v>Methods: GET/HEAD: Mandatory, PUT: Error, POST: Error, DELETE: Discouraged</v>
      </c>
      <c r="I96" t="s">
        <v>170</v>
      </c>
    </row>
    <row r="97" spans="1:9">
      <c r="A97" t="str">
        <f>IF(Controls!Y98,Controls!R98&amp;" Section","")</f>
        <v/>
      </c>
      <c r="B97" t="str">
        <f>IF(Controls!Z98,Controls!S98&amp;" Function Set","")</f>
        <v>Prepayment Function Set</v>
      </c>
      <c r="C97" t="str">
        <f>Controls!B98&amp;" Resource"</f>
        <v>PrepaymentList Resource</v>
      </c>
      <c r="D97" t="str">
        <f>T(Controls!P98)</f>
        <v>A List of Prepayment instances.</v>
      </c>
      <c r="E97" t="str">
        <f>"Sample URI: "&amp;Controls!C98</f>
        <v>Sample URI: /ppy</v>
      </c>
      <c r="F97" t="str">
        <f>"Request Representation: "&amp;Controls!V98&amp;IF(Controls!$B98="MirrorUsagePoint"," (PUT), MirrorMeterReading (POST), MirrorMeterReadingList (POST)","")</f>
        <v>Request Representation: Prepayment</v>
      </c>
      <c r="G97" t="str">
        <f>"Response Representation: "&amp;Controls!W98</f>
        <v>Response Representation: PrepaymentList</v>
      </c>
      <c r="H97" t="str">
        <f>"Methods: "&amp;Controls!X98</f>
        <v>Methods: GET/HEAD: Mandatory, PUT: Error, POST: Discouraged, DELETE: Error</v>
      </c>
      <c r="I97" t="s">
        <v>170</v>
      </c>
    </row>
    <row r="98" spans="1:9">
      <c r="A98" t="str">
        <f>IF(Controls!Y99,Controls!R99&amp;" Section","")</f>
        <v/>
      </c>
      <c r="B98" t="str">
        <f>IF(Controls!Z99,Controls!S99&amp;" Function Set","")</f>
        <v/>
      </c>
      <c r="C98" t="str">
        <f>Controls!B99&amp;" Resource"</f>
        <v>Prepayment Resource</v>
      </c>
      <c r="D98" t="str">
        <f>T(Controls!P99)</f>
        <v>A particular Prepayment instance. Provides links to the Account Balance, Credit Register, and Operation Status resources for a particular service.</v>
      </c>
      <c r="E98" t="str">
        <f>"Sample URI: "&amp;Controls!C99</f>
        <v>Sample URI: /ppy/{id1}</v>
      </c>
      <c r="F98" t="str">
        <f>"Request Representation: "&amp;Controls!V99&amp;IF(Controls!$B99="MirrorUsagePoint"," (PUT), MirrorMeterReading (POST), MirrorMeterReadingList (POST)","")</f>
        <v>Request Representation: Prepayment</v>
      </c>
      <c r="G98" t="str">
        <f>"Response Representation: "&amp;Controls!W99</f>
        <v>Response Representation: Prepayment</v>
      </c>
      <c r="H98" t="str">
        <f>"Methods: "&amp;Controls!X99</f>
        <v>Methods: GET/HEAD: Mandatory, PUT: Error, POST: Error, DELETE: Discouraged</v>
      </c>
      <c r="I98" t="s">
        <v>170</v>
      </c>
    </row>
    <row r="99" spans="1:9">
      <c r="A99" t="str">
        <f>IF(Controls!Y100,Controls!R100&amp;" Section","")</f>
        <v/>
      </c>
      <c r="B99" t="str">
        <f>IF(Controls!Z100,Controls!S100&amp;" Function Set","")</f>
        <v/>
      </c>
      <c r="C99" t="str">
        <f>Controls!B100&amp;" Resource"</f>
        <v>AccountBalance Resource</v>
      </c>
      <c r="D99" t="str">
        <f>T(Controls!P100)</f>
        <v xml:space="preserve">Account Balance instance. </v>
      </c>
      <c r="E99" t="str">
        <f>"Sample URI: "&amp;Controls!C100</f>
        <v>Sample URI: /ppy/{id1}/ab</v>
      </c>
      <c r="F99" t="str">
        <f>"Request Representation: "&amp;Controls!V100&amp;IF(Controls!$B100="MirrorUsagePoint"," (PUT), MirrorMeterReading (POST), MirrorMeterReadingList (POST)","")</f>
        <v>Request Representation: AccountBalance</v>
      </c>
      <c r="G99" t="str">
        <f>"Response Representation: "&amp;Controls!W100</f>
        <v>Response Representation: AccountBalance</v>
      </c>
      <c r="H99" t="str">
        <f>"Methods: "&amp;Controls!X100</f>
        <v>Methods: GET/HEAD: Mandatory, PUT: Discouraged, POST: Error, DELETE: Error</v>
      </c>
      <c r="I99" t="s">
        <v>170</v>
      </c>
    </row>
    <row r="100" spans="1:9">
      <c r="A100" t="str">
        <f>IF(Controls!Y101,Controls!R101&amp;" Section","")</f>
        <v/>
      </c>
      <c r="B100" t="str">
        <f>IF(Controls!Z101,Controls!S101&amp;" Function Set","")</f>
        <v/>
      </c>
      <c r="C100" t="str">
        <f>Controls!B101&amp;" Resource"</f>
        <v>PrepayOperationStatus Resource</v>
      </c>
      <c r="D100" t="str">
        <f>T(Controls!P101)</f>
        <v>The Operation Status for the given service. Identifies whether service should be continued. MAY also include other status information, such as low credit warning.</v>
      </c>
      <c r="E100" t="str">
        <f>"Sample URI: "&amp;Controls!C101</f>
        <v>Sample URI: /ppy/{id1}/os</v>
      </c>
      <c r="F100" t="str">
        <f>"Request Representation: "&amp;Controls!V101&amp;IF(Controls!$B101="MirrorUsagePoint"," (PUT), MirrorMeterReading (POST), MirrorMeterReadingList (POST)","")</f>
        <v>Request Representation: PrepayOperationStatus</v>
      </c>
      <c r="G100" t="str">
        <f>"Response Representation: "&amp;Controls!W101</f>
        <v>Response Representation: PrepayOperationStatus</v>
      </c>
      <c r="H100" t="str">
        <f>"Methods: "&amp;Controls!X101</f>
        <v>Methods: GET/HEAD: Mandatory, PUT: Discouraged, POST: Error, DELETE: Error</v>
      </c>
      <c r="I100" t="s">
        <v>170</v>
      </c>
    </row>
    <row r="101" spans="1:9">
      <c r="A101" t="str">
        <f>IF(Controls!Y102,Controls!R102&amp;" Section","")</f>
        <v/>
      </c>
      <c r="B101" t="str">
        <f>IF(Controls!Z102,Controls!S102&amp;" Function Set","")</f>
        <v/>
      </c>
      <c r="C101" t="str">
        <f>Controls!B102&amp;" Resource"</f>
        <v>ActiveSupplyInterruptionOverrideList Resource</v>
      </c>
      <c r="D101" t="str">
        <f>T(Controls!P102)</f>
        <v>A list of active supply interruption overrides</v>
      </c>
      <c r="E101" t="str">
        <f>"Sample URI: "&amp;Controls!C102</f>
        <v>Sample URI: /ppy/{id1}/actsi</v>
      </c>
      <c r="F101" t="str">
        <f>"Request Representation: "&amp;Controls!V102&amp;IF(Controls!$B102="MirrorUsagePoint"," (PUT), MirrorMeterReading (POST), MirrorMeterReadingList (POST)","")</f>
        <v>Request Representation: SupplyInterruptionOverride</v>
      </c>
      <c r="G101" t="str">
        <f>"Response Representation: "&amp;Controls!W102</f>
        <v>Response Representation: SupplyInterruptionOverrideList</v>
      </c>
      <c r="H101" t="str">
        <f>"Methods: "&amp;Controls!X102</f>
        <v>Methods: GET/HEAD: Mandatory, PUT: Error, POST: Error, DELETE: Error</v>
      </c>
      <c r="I101" t="s">
        <v>170</v>
      </c>
    </row>
    <row r="102" spans="1:9">
      <c r="A102" t="str">
        <f>IF(Controls!Y103,Controls!R103&amp;" Section","")</f>
        <v/>
      </c>
      <c r="B102" t="str">
        <f>IF(Controls!Z103,Controls!S103&amp;" Function Set","")</f>
        <v/>
      </c>
      <c r="C102" t="str">
        <f>Controls!B103&amp;" Resource"</f>
        <v>SupplyInterruptionOverrideList Resource</v>
      </c>
      <c r="D102" t="str">
        <f>T(Controls!P103)</f>
        <v>A List of Supply Interruption Override instances.</v>
      </c>
      <c r="E102" t="str">
        <f>"Sample URI: "&amp;Controls!C103</f>
        <v>Sample URI: /ppy/{id1}/si</v>
      </c>
      <c r="F102" t="str">
        <f>"Request Representation: "&amp;Controls!V103&amp;IF(Controls!$B103="MirrorUsagePoint"," (PUT), MirrorMeterReading (POST), MirrorMeterReadingList (POST)","")</f>
        <v>Request Representation: SupplyInterruptionOverride</v>
      </c>
      <c r="G102" t="str">
        <f>"Response Representation: "&amp;Controls!W103</f>
        <v>Response Representation: SupplyInterruptionOverrideList</v>
      </c>
      <c r="H102" t="str">
        <f>"Methods: "&amp;Controls!X103</f>
        <v>Methods: GET/HEAD: Mandatory, PUT: Error, POST: Discouraged, DELETE: Error</v>
      </c>
      <c r="I102" t="s">
        <v>170</v>
      </c>
    </row>
    <row r="103" spans="1:9">
      <c r="A103" t="str">
        <f>IF(Controls!Y104,Controls!R104&amp;" Section","")</f>
        <v/>
      </c>
      <c r="B103" t="str">
        <f>IF(Controls!Z104,Controls!S104&amp;" Function Set","")</f>
        <v/>
      </c>
      <c r="C103" t="str">
        <f>Controls!B104&amp;" Resource"</f>
        <v>SupplyInterruptionOverride Resource</v>
      </c>
      <c r="D103" t="str">
        <f>T(Controls!P104)</f>
        <v>A particular Supply Interruption Override instance. This defines a period of time during which supply would not be interrupted even if available credit has been exhausted.</v>
      </c>
      <c r="E103" t="str">
        <f>"Sample URI: "&amp;Controls!C104</f>
        <v>Sample URI: /ppy/{id1}/si/{id2}</v>
      </c>
      <c r="F103" t="str">
        <f>"Request Representation: "&amp;Controls!V104&amp;IF(Controls!$B104="MirrorUsagePoint"," (PUT), MirrorMeterReading (POST), MirrorMeterReadingList (POST)","")</f>
        <v>Request Representation: SupplyInterruptionOverride</v>
      </c>
      <c r="G103" t="str">
        <f>"Response Representation: "&amp;Controls!W104</f>
        <v>Response Representation: SupplyInterruptionOverride</v>
      </c>
      <c r="H103" t="str">
        <f>"Methods: "&amp;Controls!X104</f>
        <v>Methods: GET/HEAD: Mandatory, PUT: Discouraged, POST: Error, DELETE: Discouraged</v>
      </c>
      <c r="I103" t="s">
        <v>170</v>
      </c>
    </row>
    <row r="104" spans="1:9">
      <c r="A104" t="str">
        <f>IF(Controls!Y105,Controls!R105&amp;" Section","")</f>
        <v/>
      </c>
      <c r="B104" t="str">
        <f>IF(Controls!Z105,Controls!S105&amp;" Function Set","")</f>
        <v/>
      </c>
      <c r="C104" t="str">
        <f>Controls!B105&amp;" Resource"</f>
        <v>CreditRegisterList Resource</v>
      </c>
      <c r="D104" t="str">
        <f>T(Controls!P105)</f>
        <v>A List of Credit Register instances. Interface for new credit transactions.</v>
      </c>
      <c r="E104" t="str">
        <f>"Sample URI: "&amp;Controls!C105</f>
        <v>Sample URI: /ppy/{id1}/cr</v>
      </c>
      <c r="F104" t="str">
        <f>"Request Representation: "&amp;Controls!V105&amp;IF(Controls!$B105="MirrorUsagePoint"," (PUT), MirrorMeterReading (POST), MirrorMeterReadingList (POST)","")</f>
        <v>Request Representation: CreditRegister</v>
      </c>
      <c r="G104" t="str">
        <f>"Response Representation: "&amp;Controls!W105</f>
        <v>Response Representation: CreditRegisterList</v>
      </c>
      <c r="H104" t="str">
        <f>"Methods: "&amp;Controls!X105</f>
        <v>Methods: GET/HEAD: Mandatory, PUT: Error, POST: Optional, DELETE: Error</v>
      </c>
      <c r="I104" t="s">
        <v>170</v>
      </c>
    </row>
    <row r="105" spans="1:9">
      <c r="A105" t="str">
        <f>IF(Controls!Y106,Controls!R106&amp;" Section","")</f>
        <v/>
      </c>
      <c r="B105" t="str">
        <f>IF(Controls!Z106,Controls!S106&amp;" Function Set","")</f>
        <v/>
      </c>
      <c r="C105" t="str">
        <f>Controls!B106&amp;" Resource"</f>
        <v>CreditRegister Resource</v>
      </c>
      <c r="D105" t="str">
        <f>T(Controls!P106)</f>
        <v>A particular Credit Register instance. Records a payment transaction or other credit addition.</v>
      </c>
      <c r="E105" t="str">
        <f>"Sample URI: "&amp;Controls!C106</f>
        <v>Sample URI: /ppy/{id1}/cr/{id2}</v>
      </c>
      <c r="F105" t="str">
        <f>"Request Representation: "&amp;Controls!V106&amp;IF(Controls!$B106="MirrorUsagePoint"," (PUT), MirrorMeterReading (POST), MirrorMeterReadingList (POST)","")</f>
        <v>Request Representation: CreditRegister</v>
      </c>
      <c r="G105" t="str">
        <f>"Response Representation: "&amp;Controls!W106</f>
        <v>Response Representation: CreditRegister</v>
      </c>
      <c r="H105" t="str">
        <f>"Methods: "&amp;Controls!X106</f>
        <v>Methods: GET/HEAD: Mandatory, PUT: Error, POST: Error, DELETE: Optional</v>
      </c>
      <c r="I105" t="s">
        <v>170</v>
      </c>
    </row>
    <row r="106" spans="1:9">
      <c r="A106" t="str">
        <f>IF(Controls!Y107,Controls!R107&amp;" Section","")</f>
        <v/>
      </c>
      <c r="B106" t="str">
        <f>IF(Controls!Z107,Controls!S107&amp;" Function Set","")</f>
        <v>Flow Reservation Function Set</v>
      </c>
      <c r="C106" t="str">
        <f>Controls!B107&amp;" Resource"</f>
        <v>FlowReservationRequestList Resource</v>
      </c>
      <c r="D106" t="str">
        <f>T(Controls!P107)</f>
        <v>List of FlowReservationRequests.  Devices implementing the FlowReservationRequestList resource MAY support multiple FlowReservationRequests.</v>
      </c>
      <c r="E106" t="str">
        <f>"Sample URI: "&amp;Controls!C107</f>
        <v>Sample URI: /edev/{id1}/frq</v>
      </c>
      <c r="F106" t="str">
        <f>"Request Representation: "&amp;Controls!V107&amp;IF(Controls!$B107="MirrorUsagePoint"," (PUT), MirrorMeterReading (POST), MirrorMeterReadingList (POST)","")</f>
        <v>Request Representation: FlowReservationRequest</v>
      </c>
      <c r="G106" t="str">
        <f>"Response Representation: "&amp;Controls!W107</f>
        <v>Response Representation: FlowReservationRequestList</v>
      </c>
      <c r="H106" t="str">
        <f>"Methods: "&amp;Controls!X107</f>
        <v>Methods: GET/HEAD: Mandatory, PUT: Error, POST: Mandatory, DELETE: Error</v>
      </c>
      <c r="I106" t="s">
        <v>170</v>
      </c>
    </row>
    <row r="107" spans="1:9">
      <c r="A107" t="str">
        <f>IF(Controls!Y108,Controls!R108&amp;" Section","")</f>
        <v/>
      </c>
      <c r="B107" t="str">
        <f>IF(Controls!Z108,Controls!S108&amp;" Function Set","")</f>
        <v/>
      </c>
      <c r="C107" t="str">
        <f>Controls!B108&amp;" Resource"</f>
        <v>FlowReservationRequest Resource</v>
      </c>
      <c r="D107" t="str">
        <f>T(Controls!P108)</f>
        <v>Specific FlowReservationRequest resource.  This resource can be thought of as a particular reservation event request for fast charging or discharging over a period of time.</v>
      </c>
      <c r="E107" t="str">
        <f>"Sample URI: "&amp;Controls!C108</f>
        <v>Sample URI: /edev/{id1}/frq/{id2}</v>
      </c>
      <c r="F107" t="str">
        <f>"Request Representation: "&amp;Controls!V108&amp;IF(Controls!$B108="MirrorUsagePoint"," (PUT), MirrorMeterReading (POST), MirrorMeterReadingList (POST)","")</f>
        <v>Request Representation: FlowReservationRequest</v>
      </c>
      <c r="G107" t="str">
        <f>"Response Representation: "&amp;Controls!W108</f>
        <v>Response Representation: FlowReservationRequest</v>
      </c>
      <c r="H107" t="str">
        <f>"Methods: "&amp;Controls!X108</f>
        <v>Methods: GET/HEAD: Mandatory, PUT: Mandatory, POST: Error, DELETE: Optional</v>
      </c>
      <c r="I107" t="s">
        <v>170</v>
      </c>
    </row>
    <row r="108" spans="1:9">
      <c r="A108" t="str">
        <f>IF(Controls!Y109,Controls!R109&amp;" Section","")</f>
        <v/>
      </c>
      <c r="B108" t="str">
        <f>IF(Controls!Z109,Controls!S109&amp;" Function Set","")</f>
        <v/>
      </c>
      <c r="C108" t="str">
        <f>Controls!B109&amp;" Resource"</f>
        <v>FlowReservationResponseList Resource</v>
      </c>
      <c r="D108" t="str">
        <f>T(Controls!P109)</f>
        <v>List of FlowReservationResponses.  Devices implementing the FlowReservationResponseList resource MAY support multiple FlowReservationResponses.</v>
      </c>
      <c r="E108" t="str">
        <f>"Sample URI: "&amp;Controls!C109</f>
        <v>Sample URI: /edev/{id1}/frp</v>
      </c>
      <c r="F108" t="str">
        <f>"Request Representation: "&amp;Controls!V109&amp;IF(Controls!$B109="MirrorUsagePoint"," (PUT), MirrorMeterReading (POST), MirrorMeterReadingList (POST)","")</f>
        <v>Request Representation: FlowReservationResponse</v>
      </c>
      <c r="G108" t="str">
        <f>"Response Representation: "&amp;Controls!W109</f>
        <v>Response Representation: FlowReservationResponseList</v>
      </c>
      <c r="H108" t="str">
        <f>"Methods: "&amp;Controls!X109</f>
        <v>Methods: GET/HEAD: Mandatory, PUT: Error, POST: Discouraged, DELETE: Error</v>
      </c>
      <c r="I108" t="s">
        <v>170</v>
      </c>
    </row>
    <row r="109" spans="1:9">
      <c r="A109" t="str">
        <f>IF(Controls!Y110,Controls!R110&amp;" Section","")</f>
        <v/>
      </c>
      <c r="B109" t="str">
        <f>IF(Controls!Z110,Controls!S110&amp;" Function Set","")</f>
        <v/>
      </c>
      <c r="C109" t="str">
        <f>Controls!B110&amp;" Resource"</f>
        <v>FlowReservationResponse Resource</v>
      </c>
      <c r="D109" t="str">
        <f>T(Controls!P110)</f>
        <v>Specific FlowReservationResponse resource.  This resource can be thought of as a particular reservation event response for fast charging or discharging over a period of time.</v>
      </c>
      <c r="E109" t="str">
        <f>"Sample URI: "&amp;Controls!C110</f>
        <v>Sample URI: /edev/{id1}/frp/{id2}</v>
      </c>
      <c r="F109" t="str">
        <f>"Request Representation: "&amp;Controls!V110&amp;IF(Controls!$B110="MirrorUsagePoint"," (PUT), MirrorMeterReading (POST), MirrorMeterReadingList (POST)","")</f>
        <v>Request Representation: FlowReservationResponse</v>
      </c>
      <c r="G109" t="str">
        <f>"Response Representation: "&amp;Controls!W110</f>
        <v>Response Representation: FlowReservationResponse</v>
      </c>
      <c r="H109" t="str">
        <f>"Methods: "&amp;Controls!X110</f>
        <v>Methods: GET/HEAD: Mandatory, PUT: Error, POST: Error, DELETE: Discouraged</v>
      </c>
      <c r="I109" t="s">
        <v>170</v>
      </c>
    </row>
    <row r="110" spans="1:9">
      <c r="A110" t="str">
        <f>IF(Controls!Y111,Controls!R111&amp;" Section","")</f>
        <v/>
      </c>
      <c r="B110" t="str">
        <f>IF(Controls!Z111,Controls!S111&amp;" Function Set","")</f>
        <v>Distributed Energy Resources Function Set</v>
      </c>
      <c r="C110" t="str">
        <f>Controls!B111&amp;" Resource"</f>
        <v>DERList Resource</v>
      </c>
      <c r="D110" t="str">
        <f>T(Controls!P111)</f>
        <v>A list of Distributed Energy Resources</v>
      </c>
      <c r="E110" t="str">
        <f>"Sample URI: "&amp;Controls!C111</f>
        <v>Sample URI: /edev/{id1}/der</v>
      </c>
      <c r="F110" t="str">
        <f>"Request Representation: "&amp;Controls!V111&amp;IF(Controls!$B111="MirrorUsagePoint"," (PUT), MirrorMeterReading (POST), MirrorMeterReadingList (POST)","")</f>
        <v>Request Representation: DER</v>
      </c>
      <c r="G110" t="str">
        <f>"Response Representation: "&amp;Controls!W111</f>
        <v>Response Representation: DERList</v>
      </c>
      <c r="H110" t="str">
        <f>"Methods: "&amp;Controls!X111</f>
        <v>Methods: GET/HEAD: Mandatory, PUT: Error, POST: Optional, DELETE: Error</v>
      </c>
      <c r="I110" t="s">
        <v>170</v>
      </c>
    </row>
    <row r="111" spans="1:9">
      <c r="A111" t="str">
        <f>IF(Controls!Y112,Controls!R112&amp;" Section","")</f>
        <v/>
      </c>
      <c r="B111" t="str">
        <f>IF(Controls!Z112,Controls!S112&amp;" Function Set","")</f>
        <v/>
      </c>
      <c r="C111" t="str">
        <f>Controls!B112&amp;" Resource"</f>
        <v>DER Resource</v>
      </c>
      <c r="D111" t="str">
        <f>T(Controls!P112)</f>
        <v>The information about a specific Distributed Energy Resource.</v>
      </c>
      <c r="E111" t="str">
        <f>"Sample URI: "&amp;Controls!C112</f>
        <v>Sample URI: /edev/{id1}/der/{id2}</v>
      </c>
      <c r="F111" t="str">
        <f>"Request Representation: "&amp;Controls!V112&amp;IF(Controls!$B112="MirrorUsagePoint"," (PUT), MirrorMeterReading (POST), MirrorMeterReadingList (POST)","")</f>
        <v>Request Representation: DER</v>
      </c>
      <c r="G111" t="str">
        <f>"Response Representation: "&amp;Controls!W112</f>
        <v>Response Representation: DER</v>
      </c>
      <c r="H111" t="str">
        <f>"Methods: "&amp;Controls!X112</f>
        <v>Methods: GET/HEAD: Mandatory, PUT: Optional, POST: Error, DELETE: Optional</v>
      </c>
      <c r="I111" t="s">
        <v>170</v>
      </c>
    </row>
    <row r="112" spans="1:9">
      <c r="A112" t="str">
        <f>IF(Controls!Y113,Controls!R113&amp;" Section","")</f>
        <v/>
      </c>
      <c r="B112" t="str">
        <f>IF(Controls!Z113,Controls!S113&amp;" Function Set","")</f>
        <v/>
      </c>
      <c r="C112" t="str">
        <f>Controls!B113&amp;" Resource"</f>
        <v>AssociatedUsagePoint Resource</v>
      </c>
      <c r="D112" t="str">
        <f>T(Controls!P113)</f>
        <v xml:space="preserve">The usage point associated with this DER instance. </v>
      </c>
      <c r="E112" t="str">
        <f>"Sample URI: "&amp;Controls!C113</f>
        <v>Sample URI: /edev/{id1}/der/{id2}/upt</v>
      </c>
      <c r="F112" t="str">
        <f>"Request Representation: "&amp;Controls!V113&amp;IF(Controls!$B113="MirrorUsagePoint"," (PUT), MirrorMeterReading (POST), MirrorMeterReadingList (POST)","")</f>
        <v>Request Representation: UsagePoint</v>
      </c>
      <c r="G112" t="str">
        <f>"Response Representation: "&amp;Controls!W113</f>
        <v>Response Representation: UsagePoint</v>
      </c>
      <c r="H112" t="str">
        <f>"Methods: "&amp;Controls!X113</f>
        <v>Methods: GET/HEAD: Mandatory, PUT: Error, POST: Error, DELETE: Optional</v>
      </c>
      <c r="I112" t="s">
        <v>170</v>
      </c>
    </row>
    <row r="113" spans="1:9">
      <c r="A113" t="str">
        <f>IF(Controls!Y114,Controls!R114&amp;" Section","")</f>
        <v/>
      </c>
      <c r="B113" t="str">
        <f>IF(Controls!Z114,Controls!S114&amp;" Function Set","")</f>
        <v/>
      </c>
      <c r="C113" t="str">
        <f>Controls!B114&amp;" Resource"</f>
        <v>AssociatedDERProgramList Resource</v>
      </c>
      <c r="D113" t="str">
        <f>T(Controls!P114)</f>
        <v>The List of DERProgram instances associated with this DER.</v>
      </c>
      <c r="E113" t="str">
        <f>"Sample URI: "&amp;Controls!C114</f>
        <v>Sample URI: /edev/{id1}/der/{id2}/derp</v>
      </c>
      <c r="F113" t="str">
        <f>"Request Representation: "&amp;Controls!V114&amp;IF(Controls!$B114="MirrorUsagePoint"," (PUT), MirrorMeterReading (POST), MirrorMeterReadingList (POST)","")</f>
        <v>Request Representation: DERProgram</v>
      </c>
      <c r="G113" t="str">
        <f>"Response Representation: "&amp;Controls!W114</f>
        <v>Response Representation: DERProgramList</v>
      </c>
      <c r="H113" t="str">
        <f>"Methods: "&amp;Controls!X114</f>
        <v>Methods: GET/HEAD: Mandatory, PUT: Error, POST: Optional, DELETE: Error</v>
      </c>
      <c r="I113" t="s">
        <v>170</v>
      </c>
    </row>
    <row r="114" spans="1:9">
      <c r="A114" t="str">
        <f>IF(Controls!Y115,Controls!R115&amp;" Section","")</f>
        <v/>
      </c>
      <c r="B114" t="str">
        <f>IF(Controls!Z115,Controls!S115&amp;" Function Set","")</f>
        <v/>
      </c>
      <c r="C114" t="str">
        <f>Controls!B115&amp;" Resource"</f>
        <v>CurrentDERProgram Resource</v>
      </c>
      <c r="D114" t="str">
        <f>T(Controls!P115)</f>
        <v xml:space="preserve">The specific DER Control Program being followed by the DER. </v>
      </c>
      <c r="E114" t="str">
        <f>"Sample URI: "&amp;Controls!C115</f>
        <v>Sample URI: /edev/{id1}/der/{id2}/cdp</v>
      </c>
      <c r="F114" t="str">
        <f>"Request Representation: "&amp;Controls!V115&amp;IF(Controls!$B115="MirrorUsagePoint"," (PUT), MirrorMeterReading (POST), MirrorMeterReadingList (POST)","")</f>
        <v>Request Representation: DERProgram</v>
      </c>
      <c r="G114" t="str">
        <f>"Response Representation: "&amp;Controls!W115</f>
        <v>Response Representation: DERProgram</v>
      </c>
      <c r="H114" t="str">
        <f>"Methods: "&amp;Controls!X115</f>
        <v>Methods: GET/HEAD: Mandatory, PUT: Error, POST: Error, DELETE: Optional</v>
      </c>
      <c r="I114" t="s">
        <v>170</v>
      </c>
    </row>
    <row r="115" spans="1:9">
      <c r="A115" t="str">
        <f>IF(Controls!Y116,Controls!R116&amp;" Section","")</f>
        <v/>
      </c>
      <c r="B115" t="str">
        <f>IF(Controls!Z116,Controls!S116&amp;" Function Set","")</f>
        <v/>
      </c>
      <c r="C115" t="str">
        <f>Controls!B116&amp;" Resource"</f>
        <v>DERSettings Resource</v>
      </c>
      <c r="D115" t="str">
        <f>T(Controls!P116)</f>
        <v>The DER settings of the associated EndDevice or SelfDevice.</v>
      </c>
      <c r="E115" t="str">
        <f>"Sample URI: "&amp;Controls!C116</f>
        <v>Sample URI: /edev/{id1}/der/{id2}/derg</v>
      </c>
      <c r="F115" t="str">
        <f>"Request Representation: "&amp;Controls!V116&amp;IF(Controls!$B116="MirrorUsagePoint"," (PUT), MirrorMeterReading (POST), MirrorMeterReadingList (POST)","")</f>
        <v>Request Representation: DERSettings</v>
      </c>
      <c r="G115" t="str">
        <f>"Response Representation: "&amp;Controls!W116</f>
        <v>Response Representation: DERSettings</v>
      </c>
      <c r="H115" t="str">
        <f>"Methods: "&amp;Controls!X116</f>
        <v>Methods: GET/HEAD: Mandatory, PUT: Mandatory, POST: Error, DELETE: Error</v>
      </c>
      <c r="I115" t="s">
        <v>170</v>
      </c>
    </row>
    <row r="116" spans="1:9">
      <c r="A116" t="str">
        <f>IF(Controls!Y117,Controls!R117&amp;" Section","")</f>
        <v/>
      </c>
      <c r="B116" t="str">
        <f>IF(Controls!Z117,Controls!S117&amp;" Function Set","")</f>
        <v/>
      </c>
      <c r="C116" t="str">
        <f>Controls!B117&amp;" Resource"</f>
        <v>DERStatus Resource</v>
      </c>
      <c r="D116" t="str">
        <f>T(Controls!P117)</f>
        <v>The DER status of the associated EndDevice or SelfDevice.</v>
      </c>
      <c r="E116" t="str">
        <f>"Sample URI: "&amp;Controls!C117</f>
        <v>Sample URI: /edev/{id1}/der/{id2}/ders</v>
      </c>
      <c r="F116" t="str">
        <f>"Request Representation: "&amp;Controls!V117&amp;IF(Controls!$B117="MirrorUsagePoint"," (PUT), MirrorMeterReading (POST), MirrorMeterReadingList (POST)","")</f>
        <v>Request Representation: DERStatus</v>
      </c>
      <c r="G116" t="str">
        <f>"Response Representation: "&amp;Controls!W117</f>
        <v>Response Representation: DERStatus</v>
      </c>
      <c r="H116" t="str">
        <f>"Methods: "&amp;Controls!X117</f>
        <v>Methods: GET/HEAD: Mandatory, PUT: Mandatory, POST: Error, DELETE: Error</v>
      </c>
      <c r="I116" t="s">
        <v>170</v>
      </c>
    </row>
    <row r="117" spans="1:9">
      <c r="A117" t="str">
        <f>IF(Controls!Y118,Controls!R118&amp;" Section","")</f>
        <v/>
      </c>
      <c r="B117" t="str">
        <f>IF(Controls!Z118,Controls!S118&amp;" Function Set","")</f>
        <v/>
      </c>
      <c r="C117" t="str">
        <f>Controls!B118&amp;" Resource"</f>
        <v>DERAvailability Resource</v>
      </c>
      <c r="D117" t="str">
        <f>T(Controls!P118)</f>
        <v>The DER availability of the associated EndDevice or SelfDevice.</v>
      </c>
      <c r="E117" t="str">
        <f>"Sample URI: "&amp;Controls!C118</f>
        <v>Sample URI: /edev/{id1}/der/{id2}/dera</v>
      </c>
      <c r="F117" t="str">
        <f>"Request Representation: "&amp;Controls!V118&amp;IF(Controls!$B118="MirrorUsagePoint"," (PUT), MirrorMeterReading (POST), MirrorMeterReadingList (POST)","")</f>
        <v>Request Representation: DERAvailability</v>
      </c>
      <c r="G117" t="str">
        <f>"Response Representation: "&amp;Controls!W118</f>
        <v>Response Representation: DERAvailability</v>
      </c>
      <c r="H117" t="str">
        <f>"Methods: "&amp;Controls!X118</f>
        <v>Methods: GET/HEAD: Mandatory, PUT: Mandatory, POST: Error, DELETE: Error</v>
      </c>
      <c r="I117" t="s">
        <v>170</v>
      </c>
    </row>
    <row r="118" spans="1:9">
      <c r="A118" t="str">
        <f>IF(Controls!Y119,Controls!R119&amp;" Section","")</f>
        <v/>
      </c>
      <c r="B118" t="str">
        <f>IF(Controls!Z119,Controls!S119&amp;" Function Set","")</f>
        <v/>
      </c>
      <c r="C118" t="str">
        <f>Controls!B119&amp;" Resource"</f>
        <v>DERCapability Resource</v>
      </c>
      <c r="D118" t="str">
        <f>T(Controls!P119)</f>
        <v>Capabilities of the DER</v>
      </c>
      <c r="E118" t="str">
        <f>"Sample URI: "&amp;Controls!C119</f>
        <v>Sample URI: /edev/{id1}/der/{id2}/dercap</v>
      </c>
      <c r="F118" t="str">
        <f>"Request Representation: "&amp;Controls!V119&amp;IF(Controls!$B119="MirrorUsagePoint"," (PUT), MirrorMeterReading (POST), MirrorMeterReadingList (POST)","")</f>
        <v>Request Representation: DERCapability</v>
      </c>
      <c r="G118" t="str">
        <f>"Response Representation: "&amp;Controls!W119</f>
        <v>Response Representation: DERCapability</v>
      </c>
      <c r="H118" t="str">
        <f>"Methods: "&amp;Controls!X119</f>
        <v>Methods: GET/HEAD: Mandatory, PUT: Mandatory, POST: Error, DELETE: Error</v>
      </c>
      <c r="I118" t="s">
        <v>170</v>
      </c>
    </row>
    <row r="119" spans="1:9">
      <c r="A119" t="str">
        <f>IF(Controls!Y120,Controls!R120&amp;" Section","")</f>
        <v/>
      </c>
      <c r="B119" t="str">
        <f>IF(Controls!Z120,Controls!S120&amp;" Function Set","")</f>
        <v/>
      </c>
      <c r="C119" t="str">
        <f>Controls!B120&amp;" Resource"</f>
        <v>DERProgramList Resource</v>
      </c>
      <c r="D119" t="str">
        <f>T(Controls!P120)</f>
        <v>List of DERProgram instances. Devices implementing the DERProgramList resource MAY support multiple instances of DERPrograms.</v>
      </c>
      <c r="E119" t="str">
        <f>"Sample URI: "&amp;Controls!C120</f>
        <v>Sample URI: /derp</v>
      </c>
      <c r="F119" t="str">
        <f>"Request Representation: "&amp;Controls!V120&amp;IF(Controls!$B120="MirrorUsagePoint"," (PUT), MirrorMeterReading (POST), MirrorMeterReadingList (POST)","")</f>
        <v>Request Representation: DERProgram</v>
      </c>
      <c r="G119" t="str">
        <f>"Response Representation: "&amp;Controls!W120</f>
        <v>Response Representation: DERProgramList</v>
      </c>
      <c r="H119" t="str">
        <f>"Methods: "&amp;Controls!X120</f>
        <v>Methods: GET/HEAD: Mandatory, PUT: Error, POST: Optional, DELETE: Error</v>
      </c>
      <c r="I119" t="s">
        <v>170</v>
      </c>
    </row>
    <row r="120" spans="1:9">
      <c r="A120" t="str">
        <f>IF(Controls!Y121,Controls!R121&amp;" Section","")</f>
        <v/>
      </c>
      <c r="B120" t="str">
        <f>IF(Controls!Z121,Controls!S121&amp;" Function Set","")</f>
        <v/>
      </c>
      <c r="C120" t="str">
        <f>Controls!B121&amp;" Resource"</f>
        <v>DERProgram Resource</v>
      </c>
      <c r="D120" t="str">
        <f>T(Controls!P121)</f>
        <v>Specific DER Control Program collection resource.  This resource can be thought of as a particular DERProgram endpoint.  This representation contains simple management attributes, as well as each associated resource.</v>
      </c>
      <c r="E120" t="str">
        <f>"Sample URI: "&amp;Controls!C121</f>
        <v>Sample URI: /derp/{id1}</v>
      </c>
      <c r="F120" t="str">
        <f>"Request Representation: "&amp;Controls!V121&amp;IF(Controls!$B121="MirrorUsagePoint"," (PUT), MirrorMeterReading (POST), MirrorMeterReadingList (POST)","")</f>
        <v>Request Representation: DERProgram</v>
      </c>
      <c r="G120" t="str">
        <f>"Response Representation: "&amp;Controls!W121</f>
        <v>Response Representation: DERProgram</v>
      </c>
      <c r="H120" t="str">
        <f>"Methods: "&amp;Controls!X121</f>
        <v>Methods: GET/HEAD: Mandatory, PUT: Error, POST: Error, DELETE: Optional</v>
      </c>
      <c r="I120" t="s">
        <v>170</v>
      </c>
    </row>
    <row r="121" spans="1:9">
      <c r="A121" t="str">
        <f>IF(Controls!Y122,Controls!R122&amp;" Section","")</f>
        <v/>
      </c>
      <c r="B121" t="str">
        <f>IF(Controls!Z122,Controls!S122&amp;" Function Set","")</f>
        <v/>
      </c>
      <c r="C121" t="str">
        <f>Controls!B122&amp;" Resource"</f>
        <v>ActiveDERControlList Resource</v>
      </c>
      <c r="D121" t="str">
        <f>T(Controls!P122)</f>
        <v>List of DERControls that are currently active.</v>
      </c>
      <c r="E121" t="str">
        <f>"Sample URI: "&amp;Controls!C122</f>
        <v>Sample URI: /derp/{id1}/actderc</v>
      </c>
      <c r="F121" t="str">
        <f>"Request Representation: "&amp;Controls!V122&amp;IF(Controls!$B122="MirrorUsagePoint"," (PUT), MirrorMeterReading (POST), MirrorMeterReadingList (POST)","")</f>
        <v>Request Representation: DERControl</v>
      </c>
      <c r="G121" t="str">
        <f>"Response Representation: "&amp;Controls!W122</f>
        <v>Response Representation: DERControlList</v>
      </c>
      <c r="H121" t="str">
        <f>"Methods: "&amp;Controls!X122</f>
        <v>Methods: GET/HEAD: Mandatory, PUT: Error, POST: Error, DELETE: Error</v>
      </c>
      <c r="I121" t="s">
        <v>170</v>
      </c>
    </row>
    <row r="122" spans="1:9">
      <c r="A122" t="str">
        <f>IF(Controls!Y123,Controls!R123&amp;" Section","")</f>
        <v/>
      </c>
      <c r="B122" t="str">
        <f>IF(Controls!Z123,Controls!S123&amp;" Function Set","")</f>
        <v/>
      </c>
      <c r="C122" t="str">
        <f>Controls!B123&amp;" Resource"</f>
        <v>DERControlList Resource</v>
      </c>
      <c r="D122" t="str">
        <f>T(Controls!P123)</f>
        <v>List of DERControls.  Devices implementing the DERControlList resource MAY support multiple DERControls.</v>
      </c>
      <c r="E122" t="str">
        <f>"Sample URI: "&amp;Controls!C123</f>
        <v>Sample URI: /derp/{id1}/derc</v>
      </c>
      <c r="F122" t="str">
        <f>"Request Representation: "&amp;Controls!V123&amp;IF(Controls!$B123="MirrorUsagePoint"," (PUT), MirrorMeterReading (POST), MirrorMeterReadingList (POST)","")</f>
        <v>Request Representation: DERControl</v>
      </c>
      <c r="G122" t="str">
        <f>"Response Representation: "&amp;Controls!W123</f>
        <v>Response Representation: DERControlList</v>
      </c>
      <c r="H122" t="str">
        <f>"Methods: "&amp;Controls!X123</f>
        <v>Methods: GET/HEAD: Mandatory, PUT: Error, POST: Optional, DELETE: Error</v>
      </c>
      <c r="I122" t="s">
        <v>170</v>
      </c>
    </row>
    <row r="123" spans="1:9">
      <c r="A123" t="str">
        <f>IF(Controls!Y124,Controls!R124&amp;" Section","")</f>
        <v/>
      </c>
      <c r="B123" t="str">
        <f>IF(Controls!Z124,Controls!S124&amp;" Function Set","")</f>
        <v/>
      </c>
      <c r="C123" t="str">
        <f>Controls!B124&amp;" Resource"</f>
        <v>DERControl Resource</v>
      </c>
      <c r="D123" t="str">
        <f>T(Controls!P124)</f>
        <v>Specific DERControl resource.  This resource can be thought of as a particular DER control event for a period of time.</v>
      </c>
      <c r="E123" t="str">
        <f>"Sample URI: "&amp;Controls!C124</f>
        <v>Sample URI: /derp/{id1}/derc/{id2}</v>
      </c>
      <c r="F123" t="str">
        <f>"Request Representation: "&amp;Controls!V124&amp;IF(Controls!$B124="MirrorUsagePoint"," (PUT), MirrorMeterReading (POST), MirrorMeterReadingList (POST)","")</f>
        <v>Request Representation: DERControl</v>
      </c>
      <c r="G123" t="str">
        <f>"Response Representation: "&amp;Controls!W124</f>
        <v>Response Representation: DERControl</v>
      </c>
      <c r="H123" t="str">
        <f>"Methods: "&amp;Controls!X124</f>
        <v>Methods: GET/HEAD: Mandatory, PUT: Error, POST: Error, DELETE: Optional</v>
      </c>
      <c r="I123" t="s">
        <v>170</v>
      </c>
    </row>
    <row r="124" spans="1:9">
      <c r="A124" t="str">
        <f>IF(Controls!Y125,Controls!R125&amp;" Section","")</f>
        <v/>
      </c>
      <c r="B124" t="str">
        <f>IF(Controls!Z125,Controls!S125&amp;" Function Set","")</f>
        <v/>
      </c>
      <c r="C124" t="str">
        <f>Controls!B125&amp;" Resource"</f>
        <v>DefaultDERControl Resource</v>
      </c>
      <c r="D124" t="str">
        <f>T(Controls!P125)</f>
        <v>The DefaultDERControl resource.  This resource can be thought of as the default DERControl to be used if no active DERControl event is found.</v>
      </c>
      <c r="E124" t="str">
        <f>"Sample URI: "&amp;Controls!C125</f>
        <v>Sample URI: /derp/{id1}/dderc</v>
      </c>
      <c r="F124" t="str">
        <f>"Request Representation: "&amp;Controls!V125&amp;IF(Controls!$B125="MirrorUsagePoint"," (PUT), MirrorMeterReading (POST), MirrorMeterReadingList (POST)","")</f>
        <v>Request Representation: DefaultDERControl</v>
      </c>
      <c r="G124" t="str">
        <f>"Response Representation: "&amp;Controls!W125</f>
        <v>Response Representation: DefaultDERControl</v>
      </c>
      <c r="H124" t="str">
        <f>"Methods: "&amp;Controls!X125</f>
        <v>Methods: GET/HEAD: Mandatory, PUT: Optional, POST: Error, DELETE: Error</v>
      </c>
    </row>
    <row r="125" spans="1:9">
      <c r="A125" t="str">
        <f>IF(Controls!Y126,Controls!R126&amp;" Section","")</f>
        <v/>
      </c>
      <c r="B125" t="str">
        <f>IF(Controls!Z126,Controls!S126&amp;" Function Set","")</f>
        <v/>
      </c>
      <c r="C125" t="str">
        <f>Controls!B126&amp;" Resource"</f>
        <v>DERCurveList Resource</v>
      </c>
      <c r="D125" t="str">
        <f>T(Controls!P126)</f>
        <v>A List of DER curves</v>
      </c>
      <c r="E125" t="str">
        <f>"Sample URI: "&amp;Controls!C126</f>
        <v>Sample URI: /derp/{id1}/dc</v>
      </c>
      <c r="F125" t="str">
        <f>"Request Representation: "&amp;Controls!V126&amp;IF(Controls!$B126="MirrorUsagePoint"," (PUT), MirrorMeterReading (POST), MirrorMeterReadingList (POST)","")</f>
        <v>Request Representation: DERCurve</v>
      </c>
      <c r="G125" t="str">
        <f>"Response Representation: "&amp;Controls!W126</f>
        <v>Response Representation: DERCurveList</v>
      </c>
      <c r="H125" t="str">
        <f>"Methods: "&amp;Controls!X126</f>
        <v>Methods: GET/HEAD: Mandatory, PUT: Error, POST: Optional, DELETE: Error</v>
      </c>
    </row>
    <row r="126" spans="1:9">
      <c r="A126" t="str">
        <f>IF(Controls!Y127,Controls!R127&amp;" Section","")</f>
        <v/>
      </c>
      <c r="B126" t="str">
        <f>IF(Controls!Z127,Controls!S127&amp;" Function Set","")</f>
        <v/>
      </c>
      <c r="C126" t="str">
        <f>Controls!B127&amp;" Resource"</f>
        <v>DERCurve Resource</v>
      </c>
      <c r="D126" t="str">
        <f>T(Controls!P127)</f>
        <v>A DER curve instance</v>
      </c>
      <c r="E126" t="str">
        <f>"Sample URI: "&amp;Controls!C127</f>
        <v>Sample URI: /derp/{id1}/dc/{id2}</v>
      </c>
      <c r="F126" t="str">
        <f>"Request Representation: "&amp;Controls!V127&amp;IF(Controls!$B127="MirrorUsagePoint"," (PUT), MirrorMeterReading (POST), MirrorMeterReadingList (POST)","")</f>
        <v>Request Representation: DERCurve</v>
      </c>
      <c r="G126" t="str">
        <f>"Response Representation: "&amp;Controls!W127</f>
        <v>Response Representation: DERCurve</v>
      </c>
      <c r="H126" t="str">
        <f>"Methods: "&amp;Controls!X127</f>
        <v>Methods: GET/HEAD: Mandatory, PUT: Error, POST: Error, DELETE: Optional</v>
      </c>
    </row>
  </sheetData>
  <pageMargins left="0.7" right="0.7" top="0.75" bottom="0.75" header="0.3" footer="0.3"/>
  <pageSetup orientation="portrait" horizontalDpi="90" verticalDpi="9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21"/>
  <sheetViews>
    <sheetView workbookViewId="0"/>
  </sheetViews>
  <sheetFormatPr baseColWidth="10" defaultColWidth="8.83203125" defaultRowHeight="14" x14ac:dyDescent="0"/>
  <cols>
    <col min="1" max="1" width="27.33203125" customWidth="1"/>
    <col min="2" max="2" width="49" customWidth="1"/>
  </cols>
  <sheetData>
    <row r="1" spans="1:3">
      <c r="A1" t="s">
        <v>264</v>
      </c>
      <c r="B1" t="s">
        <v>409</v>
      </c>
    </row>
    <row r="2" spans="1:3">
      <c r="A2" t="s">
        <v>258</v>
      </c>
      <c r="B2" t="s">
        <v>260</v>
      </c>
    </row>
    <row r="3" spans="1:3">
      <c r="A3" t="s">
        <v>259</v>
      </c>
      <c r="B3" t="s">
        <v>399</v>
      </c>
    </row>
    <row r="4" spans="1:3">
      <c r="A4" t="s">
        <v>262</v>
      </c>
      <c r="B4" t="s">
        <v>263</v>
      </c>
    </row>
    <row r="5" spans="1:3">
      <c r="A5" t="s">
        <v>261</v>
      </c>
      <c r="B5" t="s">
        <v>286</v>
      </c>
    </row>
    <row r="10" spans="1:3">
      <c r="A10" t="s">
        <v>278</v>
      </c>
      <c r="B10" t="s">
        <v>279</v>
      </c>
    </row>
    <row r="11" spans="1:3">
      <c r="A11" t="s">
        <v>300</v>
      </c>
    </row>
    <row r="12" spans="1:3">
      <c r="A12" t="s">
        <v>280</v>
      </c>
      <c r="B12" t="str">
        <f>"&lt;wx:sampleParam name=""id1"" style=""template"" type="""&amp;B$10&amp;"""/&gt;"</f>
        <v>&lt;wx:sampleParam name="id1" style="template" type="idType"/&gt;</v>
      </c>
      <c r="C12" t="s">
        <v>170</v>
      </c>
    </row>
    <row r="13" spans="1:3">
      <c r="A13" t="s">
        <v>281</v>
      </c>
      <c r="B13" t="str">
        <f>"&lt;wx:sampleParam name=""id1"" style=""template"" type="""&amp;B$10&amp;"""/&gt;&lt;wx:sampleParam name=""id2"" style=""template"" type="""&amp;B$10&amp;"""/&gt;"</f>
        <v>&lt;wx:sampleParam name="id1" style="template" type="idType"/&gt;&lt;wx:sampleParam name="id2" style="template" type="idType"/&gt;</v>
      </c>
      <c r="C13" t="s">
        <v>170</v>
      </c>
    </row>
    <row r="14" spans="1:3">
      <c r="A14" t="s">
        <v>282</v>
      </c>
      <c r="B14" t="str">
        <f>"&lt;wx:sampleParam name=""id1"" style=""template"" type="""&amp;B$10&amp;"""/&gt;&lt;wx:sampleParam name=""id2"" style=""template"" type="""&amp;B$10&amp;"""/&gt;&lt;wx:sampleParam name=""id3"" style=""template"" type="""&amp;B$10&amp;"""/&gt;"</f>
        <v>&lt;wx:sampleParam name="id1" style="template" type="idType"/&gt;&lt;wx:sampleParam name="id2" style="template" type="idType"/&gt;&lt;wx:sampleParam name="id3" style="template" type="idType"/&gt;</v>
      </c>
      <c r="C14" t="s">
        <v>170</v>
      </c>
    </row>
    <row r="15" spans="1:3">
      <c r="A15" t="s">
        <v>283</v>
      </c>
      <c r="B15" t="str">
        <f>"&lt;wx:sampleParam name=""id1"" style=""template"" type="""&amp;B$10&amp;"""/&gt;&lt;wx:sampleParam name=""id2"" style=""template"" type="""&amp;B$10&amp;"""/&gt;&lt;wx:sampleParam name=""id3"" style=""template"" type="""&amp;B$10&amp;"""/&gt;&lt;wx:sampleParam name=""id4"" style=""template"" type="""&amp;B$10&amp;"""/&gt;"</f>
        <v>&lt;wx:sampleParam name="id1" style="template" type="idType"/&gt;&lt;wx:sampleParam name="id2" style="template" type="idType"/&gt;&lt;wx:sampleParam name="id3" style="template" type="idType"/&gt;&lt;wx:sampleParam name="id4" style="template" type="idType"/&gt;</v>
      </c>
      <c r="C15" t="s">
        <v>170</v>
      </c>
    </row>
    <row r="16" spans="1:3">
      <c r="A16" t="s">
        <v>284</v>
      </c>
      <c r="B16" t="str">
        <f>"&lt;wx:sampleParam name=""id1"" style=""template"" type="""&amp;B$10&amp;"""/&gt;&lt;wx:sampleParam name=""id2"" style=""template"" type="""&amp;B$10&amp;"""/&gt;&lt;wx:sampleParam name=""id3"" style=""template"" type="""&amp;B$10&amp;"""/&gt;&lt;wx:sampleParam name=""id4"" style=""template"" type="""&amp;B$10&amp;"""/&gt;&lt;wx:sampleParam name=""id5"" style=""template"" type="""&amp;B$10&amp;"""/&gt;"</f>
        <v>&lt;wx:sampleParam name="id1" style="template" type="idType"/&gt;&lt;wx:sampleParam name="id2" style="template" type="idType"/&gt;&lt;wx:sampleParam name="id3" style="template" type="idType"/&gt;&lt;wx:sampleParam name="id4" style="template" type="idType"/&gt;&lt;wx:sampleParam name="id5" style="template" type="idType"/&gt;</v>
      </c>
      <c r="C16" t="s">
        <v>170</v>
      </c>
    </row>
    <row r="18" spans="1:3">
      <c r="A18" t="s">
        <v>337</v>
      </c>
      <c r="B18" t="s">
        <v>339</v>
      </c>
    </row>
    <row r="19" spans="1:3">
      <c r="A19" t="s">
        <v>338</v>
      </c>
      <c r="B19" t="s">
        <v>340</v>
      </c>
    </row>
    <row r="21" spans="1:3">
      <c r="A21" s="5" t="s">
        <v>371</v>
      </c>
      <c r="B21" s="5" t="s">
        <v>372</v>
      </c>
      <c r="C21" t="s">
        <v>170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D5"/>
  <sheetViews>
    <sheetView workbookViewId="0">
      <selection activeCell="C4" sqref="C4"/>
    </sheetView>
  </sheetViews>
  <sheetFormatPr baseColWidth="10" defaultColWidth="8.83203125" defaultRowHeight="14" x14ac:dyDescent="0"/>
  <cols>
    <col min="1" max="1" width="4.83203125" customWidth="1"/>
    <col min="2" max="2" width="12.83203125" customWidth="1"/>
    <col min="3" max="3" width="64.5" bestFit="1" customWidth="1"/>
    <col min="4" max="4" width="77.5" bestFit="1" customWidth="1"/>
  </cols>
  <sheetData>
    <row r="2" spans="1:4">
      <c r="A2" s="9" t="s">
        <v>171</v>
      </c>
      <c r="B2" s="12" t="s">
        <v>177</v>
      </c>
      <c r="C2" t="s">
        <v>180</v>
      </c>
      <c r="D2" t="str">
        <f>B2&amp;" - "&amp;C2</f>
        <v>Mandatory - Devices MUST implement and conform, if function set supported.</v>
      </c>
    </row>
    <row r="3" spans="1:4">
      <c r="A3" s="9" t="s">
        <v>173</v>
      </c>
      <c r="B3" s="12" t="s">
        <v>178</v>
      </c>
      <c r="C3" t="s">
        <v>182</v>
      </c>
      <c r="D3" t="str">
        <f>B3&amp;" - "&amp;C3</f>
        <v>Optional - Devices MAY implement, and if implemented, MUST conform.</v>
      </c>
    </row>
    <row r="4" spans="1:4">
      <c r="A4" s="9" t="s">
        <v>172</v>
      </c>
      <c r="B4" s="12" t="s">
        <v>179</v>
      </c>
      <c r="C4" t="s">
        <v>181</v>
      </c>
      <c r="D4" t="str">
        <f>B4&amp;" - "&amp;C4</f>
        <v>Discouraged - Devices SHOULD NOT implement, but if implemented, MUST conform.</v>
      </c>
    </row>
    <row r="5" spans="1:4">
      <c r="A5" s="9" t="s">
        <v>174</v>
      </c>
      <c r="B5" s="12" t="s">
        <v>176</v>
      </c>
      <c r="C5" t="s">
        <v>180</v>
      </c>
      <c r="D5" t="str">
        <f>B5&amp;" - "&amp;C5</f>
        <v>Error - Devices MUST implement and conform, if function set supported.</v>
      </c>
    </row>
  </sheetData>
  <conditionalFormatting sqref="A2:A5">
    <cfRule type="containsText" dxfId="7" priority="13" operator="containsText" text="D">
      <formula>NOT(ISERROR(SEARCH("D",A2)))</formula>
    </cfRule>
    <cfRule type="containsText" dxfId="6" priority="14" operator="containsText" text="E">
      <formula>NOT(ISERROR(SEARCH("E",A2)))</formula>
    </cfRule>
    <cfRule type="containsText" dxfId="5" priority="15" operator="containsText" text="O">
      <formula>NOT(ISERROR(SEARCH("O",A2)))</formula>
    </cfRule>
    <cfRule type="containsText" dxfId="4" priority="16" operator="containsText" text="M">
      <formula>NOT(ISERROR(SEARCH("M",A2)))</formula>
    </cfRule>
  </conditionalFormatting>
  <conditionalFormatting sqref="A2:A5">
    <cfRule type="cellIs" dxfId="3" priority="11" operator="equal">
      <formula>"D"</formula>
    </cfRule>
    <cfRule type="cellIs" dxfId="2" priority="12" operator="equal">
      <formula>"O"</formula>
    </cfRule>
  </conditionalFormatting>
  <conditionalFormatting sqref="A2:A5">
    <cfRule type="cellIs" dxfId="1" priority="9" operator="equal">
      <formula>"O"</formula>
    </cfRule>
    <cfRule type="cellIs" dxfId="0" priority="10" operator="equal">
      <formula>"O"</formula>
    </cfRule>
  </conditionalFormatting>
  <pageMargins left="0.7" right="0.7" top="0.75" bottom="0.75" header="0.3" footer="0.3"/>
  <pageSetup orientation="portrait" horizontalDpi="90" verticalDpi="9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Generate</vt:lpstr>
      <vt:lpstr>Controls</vt:lpstr>
      <vt:lpstr>WADL Output</vt:lpstr>
      <vt:lpstr>Doc Output</vt:lpstr>
      <vt:lpstr>Var</vt:lpstr>
      <vt:lpstr>MODE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2017-08-03T20:36:41Z</dcterms:modified>
</cp:coreProperties>
</file>